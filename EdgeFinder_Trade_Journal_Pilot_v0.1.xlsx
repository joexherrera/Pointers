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e2dc56de624e14" /></Relationships>
</file>

<file path=xl/workbook.xml><?xml version="1.0" encoding="utf-8"?>
<x:workbook xmlns:x="http://schemas.openxmlformats.org/spreadsheetml/2006/main">
  <x:sheets>
    <x:sheet xmlns:r="http://schemas.openxmlformats.org/officeDocument/2006/relationships" name="Start Here" sheetId="1" r:id="Rc62de6b5c6f74baa"/>
    <x:sheet xmlns:r="http://schemas.openxmlformats.org/officeDocument/2006/relationships" name="Trade Journal" sheetId="2" r:id="R0f69bf612f5b4e30"/>
    <x:sheet xmlns:r="http://schemas.openxmlformats.org/officeDocument/2006/relationships" name="Candidate Log" sheetId="3" r:id="R45b4785716814e26"/>
    <x:sheet xmlns:r="http://schemas.openxmlformats.org/officeDocument/2006/relationships" name="Dashboard" sheetId="4" r:id="R0f6ea68550e04ddc"/>
    <x:sheet xmlns:r="http://schemas.openxmlformats.org/officeDocument/2006/relationships" name="Pilot Feedback" sheetId="5" r:id="R58213ebe78c045a3"/>
    <x:sheet xmlns:r="http://schemas.openxmlformats.org/officeDocument/2006/relationships" name="Automated Monthly" sheetId="6" r:id="R81dbea63a2eb4db2"/>
    <x:sheet xmlns:r="http://schemas.openxmlformats.org/officeDocument/2006/relationships" name="Setup &amp; Source Guide" sheetId="7" r:id="R8028434cc12a4576"/>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yyyy-mm-dd"/>
    <x:numFmt numFmtId="201" formatCode="#,##0.00;[Red](#,##0.00);-"/>
    <x:numFmt numFmtId="202" formatCode="$#,##0.00;[Red]($#,##0.00);-"/>
    <x:numFmt numFmtId="203" formatCode="0.00&quot;R&quot;;[Red](0.00&quot;R&quot;);-"/>
    <x:numFmt numFmtId="204" formatCode="#,##0;[Red](#,##0);-"/>
    <x:numFmt numFmtId="205" formatCode="0.0"/>
    <x:numFmt numFmtId="206" formatCode="0.0%;[Red](0.0%);-"/>
    <x:numFmt numFmtId="207" formatCode="mmm yyyy"/>
  </x:numFmts>
  <x:fonts count="17">
    <x:font>
      <x:sz val="11"/>
      <x:name val="Carlito"/>
    </x:font>
    <x:font>
      <x:b/>
      <x:sz val="18"/>
      <x:color rgb="FFFFFFFF"/>
      <x:name val="Carlito"/>
    </x:font>
    <x:font>
      <x:b/>
      <x:sz val="10"/>
      <x:color rgb="FF17365D"/>
      <x:name val="Carlito"/>
    </x:font>
    <x:font>
      <x:b/>
      <x:sz val="11"/>
      <x:color rgb="FFFFFFFF"/>
      <x:name val="Carlito"/>
    </x:font>
    <x:font>
      <x:b/>
      <x:sz val="11"/>
      <x:color rgb="FF17365D"/>
      <x:name val="Carlito"/>
    </x:font>
    <x:font>
      <x:b/>
      <x:sz val="10"/>
      <x:color rgb="FFFFFFFF"/>
      <x:name val="Carlito"/>
    </x:font>
    <x:font>
      <x:sz val="11"/>
      <x:color rgb="FF0000FF"/>
      <x:name val="Carlito"/>
    </x:font>
    <x:font>
      <x:sz val="10"/>
      <x:name val="Carlito"/>
    </x:font>
    <x:font>
      <x:b/>
      <x:sz val="11"/>
      <x:color rgb="FF0000FF"/>
      <x:name val="Carlito"/>
    </x:font>
    <x:font>
      <x:b/>
      <x:sz val="11"/>
      <x:color rgb="FF000000"/>
      <x:name val="Carlito"/>
    </x:font>
    <x:font>
      <x:b/>
      <x:sz val="11"/>
      <x:color rgb="FF7030A0"/>
      <x:name val="Carlito"/>
    </x:font>
    <x:font>
      <x:i/>
      <x:sz val="11"/>
      <x:color rgb="FF595959"/>
      <x:name val="Carlito"/>
    </x:font>
    <x:font>
      <x:sz val="10"/>
      <x:color rgb="FF0000FF"/>
      <x:name val="Carlito"/>
    </x:font>
    <x:font>
      <x:sz val="10"/>
      <x:color rgb="FF000000"/>
      <x:name val="Carlito"/>
    </x:font>
    <x:font>
      <x:sz val="10"/>
      <x:color rgb="FF7030A0"/>
      <x:name val="Carlito"/>
    </x:font>
    <x:font>
      <x:b/>
      <x:sz val="11"/>
      <x:color rgb="FF008000"/>
      <x:name val="Carlito"/>
    </x:font>
    <x:font>
      <x:sz val="11"/>
      <x:color rgb="FF008000"/>
      <x:name val="Carlito"/>
    </x:font>
  </x:fonts>
  <x:fills count="15">
    <x:fill>
      <x:patternFill patternType="none"/>
    </x:fill>
    <x:fill>
      <x:patternFill patternType="gray125"/>
    </x:fill>
    <x:fill>
      <x:patternFill patternType="solid">
        <x:fgColor rgb="FF17365D"/>
      </x:patternFill>
    </x:fill>
    <x:fill>
      <x:patternFill patternType="solid">
        <x:fgColor rgb="FFD9E1F2"/>
      </x:patternFill>
    </x:fill>
    <x:fill>
      <x:patternFill patternType="solid">
        <x:fgColor rgb="FF1F4E78"/>
      </x:patternFill>
    </x:fill>
    <x:fill>
      <x:patternFill patternType="solid">
        <x:fgColor rgb="FFEAF3FF"/>
      </x:patternFill>
    </x:fill>
    <x:fill>
      <x:patternFill patternType="solid">
        <x:fgColor rgb="FF0F6B78"/>
      </x:patternFill>
    </x:fill>
    <x:fill>
      <x:patternFill patternType="solid">
        <x:fgColor rgb="FFE2F0D9"/>
      </x:patternFill>
    </x:fill>
    <x:fill>
      <x:patternFill patternType="solid">
        <x:fgColor rgb="FFF2EAF7"/>
      </x:patternFill>
    </x:fill>
    <x:fill>
      <x:patternFill patternType="solid">
        <x:fgColor rgb="FF548235"/>
      </x:patternFill>
    </x:fill>
    <x:fill>
      <x:patternFill patternType="solid">
        <x:fgColor rgb="FF595959"/>
      </x:patternFill>
    </x:fill>
    <x:fill>
      <x:patternFill patternType="solid">
        <x:fgColor rgb="FFC65911"/>
      </x:patternFill>
    </x:fill>
    <x:fill>
      <x:patternFill patternType="solid">
        <x:fgColor rgb="FF7030A0"/>
      </x:patternFill>
    </x:fill>
    <x:fill>
      <x:patternFill patternType="solid">
        <x:fgColor rgb="FFF2F2F2"/>
      </x:patternFill>
    </x:fill>
    <x:fill>
      <x:patternFill patternType="solid">
        <x:fgColor rgb="FFFCE4D6"/>
      </x:patternFill>
    </x:fill>
  </x:fills>
  <x:borders count="2">
    <x:border/>
    <x:border/>
  </x:borders>
  <x:cellStyleXfs count="1">
    <x:xf numFmtId="0" fontId="0" fillId="0" borderId="0"/>
  </x:cellStyleXfs>
  <x:cellXfs count="3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horizontal="center"/>
    </x:xf>
    <x:xf numFmtId="0" fontId="4" fillId="0" borderId="1" xfId="0" applyNumberFormat="1" applyFont="1" applyFill="1" applyBorder="1"/>
    <x:xf numFmtId="0" fontId="4" fillId="0" borderId="1" xfId="0" applyNumberFormat="1" applyFont="1" applyFill="1" applyBorder="1" applyAlignment="1">
      <x:alignment horizontal="center"/>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top" wrapText="1"/>
    </x:xf>
    <x:xf numFmtId="0" fontId="0" fillId="5" borderId="1"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wrapText="1"/>
    </x:xf>
    <x:xf numFmtId="0" fontId="7"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8" fillId="5" borderId="0" xfId="0" applyNumberFormat="1" applyFont="1" applyFill="1" applyBorder="1"/>
    <x:xf numFmtId="0" fontId="8" fillId="5"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9" fillId="7" borderId="0" xfId="0" applyNumberFormat="1" applyFont="1" applyFill="1" applyBorder="1"/>
    <x:xf numFmtId="0" fontId="9" fillId="7" borderId="1"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10" fillId="8" borderId="0" xfId="0" applyNumberFormat="1" applyFont="1" applyFill="1" applyBorder="1"/>
    <x:xf numFmtId="0" fontId="10" fillId="8" borderId="1"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left"/>
    </x:xf>
    <x:xf numFmtId="0" fontId="3" fillId="9" borderId="0" xfId="0" applyNumberFormat="1" applyFont="1" applyFill="1" applyBorder="1" applyAlignment="1">
      <x:alignment horizontal="left" vertical="center"/>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horizontal="left"/>
    </x:xf>
    <x:xf numFmtId="0" fontId="3" fillId="9" borderId="1" xfId="0" applyNumberFormat="1" applyFont="1" applyFill="1" applyBorder="1" applyAlignment="1">
      <x:alignment horizontal="left" vertical="center"/>
    </x:xf>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top" wrapText="1"/>
    </x:xf>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vertical="center" wrapText="1"/>
    </x:xf>
    <x:xf numFmtId="0" fontId="11" fillId="0" borderId="0" xfId="0" applyNumberFormat="1" applyFont="1" applyFill="1" applyBorder="1"/>
    <x:xf numFmtId="0" fontId="11" fillId="0" borderId="0" xfId="0" applyNumberFormat="1" applyFont="1" applyFill="1" applyBorder="1" applyAlignment="1">
      <x:alignment horizontal="left"/>
    </x:xf>
    <x:xf numFmtId="0" fontId="11" fillId="0" borderId="1" xfId="0" applyNumberFormat="1" applyFont="1" applyFill="1" applyBorder="1"/>
    <x:xf numFmtId="0" fontId="11" fillId="0" borderId="1" xfId="0" applyNumberFormat="1" applyFont="1" applyFill="1" applyBorder="1" applyAlignment="1">
      <x:alignment horizontal="left"/>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0" borderId="1" xfId="0" applyNumberFormat="1" applyFont="1" applyFill="1" applyBorder="1"/>
    <x:xf numFmtId="0" fontId="5" fillId="10" borderId="1" xfId="0" applyNumberFormat="1" applyFont="1" applyFill="1" applyBorder="1"/>
    <x:xf numFmtId="0" fontId="5" fillId="10" borderId="1" xfId="0" applyNumberFormat="1" applyFont="1" applyFill="1" applyBorder="1" applyAlignment="1">
      <x:alignment wrapText="1"/>
    </x:xf>
    <x:xf numFmtId="0" fontId="5" fillId="10" borderId="1" xfId="0" applyNumberFormat="1" applyFont="1" applyFill="1" applyBorder="1" applyAlignment="1">
      <x:alignment horizontal="center" wrapText="1"/>
    </x:xf>
    <x:xf numFmtId="0" fontId="5" fillId="10" borderId="1"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1" borderId="0" xfId="0" applyNumberFormat="1" applyFont="1" applyFill="1" applyBorder="1" applyAlignment="1">
      <x:alignment horizontal="center" wrapText="1"/>
    </x:xf>
    <x:xf numFmtId="0" fontId="5" fillId="11" borderId="0" xfId="0" applyNumberFormat="1" applyFont="1" applyFill="1" applyBorder="1" applyAlignment="1">
      <x:alignment horizontal="center" vertical="center" wrapText="1"/>
    </x:xf>
    <x:xf numFmtId="0" fontId="0" fillId="11" borderId="1" xfId="0" applyNumberFormat="1" applyFont="1" applyFill="1" applyBorder="1"/>
    <x:xf numFmtId="0" fontId="5" fillId="11" borderId="1" xfId="0" applyNumberFormat="1" applyFont="1" applyFill="1" applyBorder="1"/>
    <x:xf numFmtId="0" fontId="5" fillId="11" borderId="1" xfId="0" applyNumberFormat="1" applyFont="1" applyFill="1" applyBorder="1" applyAlignment="1">
      <x:alignment wrapText="1"/>
    </x:xf>
    <x:xf numFmtId="0" fontId="5" fillId="11" borderId="1" xfId="0" applyNumberFormat="1" applyFont="1" applyFill="1" applyBorder="1" applyAlignment="1">
      <x:alignment horizontal="center" wrapText="1"/>
    </x:xf>
    <x:xf numFmtId="0" fontId="5" fillId="11" borderId="1" xfId="0" applyNumberFormat="1" applyFont="1" applyFill="1" applyBorder="1" applyAlignment="1">
      <x:alignment horizontal="center" vertical="center" wrapText="1"/>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wrapText="1"/>
    </x:xf>
    <x:xf numFmtId="0" fontId="5" fillId="12" borderId="0" xfId="0" applyNumberFormat="1" applyFont="1" applyFill="1" applyBorder="1" applyAlignment="1">
      <x:alignment horizontal="center" wrapText="1"/>
    </x:xf>
    <x:xf numFmtId="0" fontId="5" fillId="12" borderId="0" xfId="0" applyNumberFormat="1" applyFont="1" applyFill="1" applyBorder="1" applyAlignment="1">
      <x:alignment horizontal="center" vertical="center" wrapText="1"/>
    </x:xf>
    <x:xf numFmtId="0" fontId="0" fillId="12" borderId="1" xfId="0" applyNumberFormat="1" applyFont="1" applyFill="1" applyBorder="1"/>
    <x:xf numFmtId="0" fontId="5" fillId="12" borderId="1" xfId="0" applyNumberFormat="1" applyFont="1" applyFill="1" applyBorder="1"/>
    <x:xf numFmtId="0" fontId="5" fillId="12" borderId="1" xfId="0" applyNumberFormat="1" applyFont="1" applyFill="1" applyBorder="1" applyAlignment="1">
      <x:alignment wrapText="1"/>
    </x:xf>
    <x:xf numFmtId="0" fontId="5" fillId="12" borderId="1" xfId="0" applyNumberFormat="1" applyFont="1" applyFill="1" applyBorder="1" applyAlignment="1">
      <x:alignment horizontal="center" wrapText="1"/>
    </x:xf>
    <x:xf numFmtId="0" fontId="5" fillId="12" borderId="1" xfId="0" applyNumberFormat="1" applyFont="1" applyFill="1" applyBorder="1" applyAlignment="1">
      <x:alignment horizontal="center" vertical="center" wrapText="1"/>
    </x:xf>
    <x:xf numFmtId="0" fontId="0" fillId="13" borderId="0" xfId="0" applyNumberFormat="1" applyFont="1" applyFill="1" applyBorder="1"/>
    <x:xf numFmtId="0" fontId="9" fillId="13" borderId="0" xfId="0" applyNumberFormat="1" applyFont="1" applyFill="1" applyBorder="1"/>
    <x:xf numFmtId="0" fontId="9" fillId="13" borderId="0" xfId="0" applyNumberFormat="1" applyFont="1" applyFill="1" applyBorder="1" applyAlignment="1">
      <x:alignment horizontal="center"/>
    </x:xf>
    <x:xf numFmtId="0" fontId="0" fillId="13" borderId="1" xfId="0" applyNumberFormat="1" applyFont="1" applyFill="1" applyBorder="1"/>
    <x:xf numFmtId="0" fontId="9" fillId="13" borderId="1" xfId="0" applyNumberFormat="1" applyFont="1" applyFill="1" applyBorder="1"/>
    <x:xf numFmtId="0" fontId="9" fillId="13" borderId="1" xfId="0" applyNumberFormat="1" applyFont="1" applyFill="1" applyBorder="1" applyAlignment="1">
      <x:alignment horizontal="center"/>
    </x:xf>
    <x:xf numFmtId="0" fontId="12" fillId="5" borderId="0" xfId="0" applyNumberFormat="1" applyFont="1" applyFill="1" applyBorder="1"/>
    <x:xf numFmtId="0" fontId="12" fillId="5" borderId="0" xfId="0" applyNumberFormat="1" applyFont="1" applyFill="1" applyBorder="1" applyAlignment="1">
      <x:alignment wrapText="1"/>
    </x:xf>
    <x:xf numFmtId="0" fontId="12" fillId="5" borderId="0" xfId="0" applyNumberFormat="1" applyFont="1" applyFill="1" applyBorder="1" applyAlignment="1">
      <x:alignment vertical="top" wrapText="1"/>
    </x:xf>
    <x:xf numFmtId="0" fontId="12" fillId="5" borderId="1" xfId="0" applyNumberFormat="1" applyFont="1" applyFill="1" applyBorder="1"/>
    <x:xf numFmtId="0" fontId="12" fillId="5" borderId="1" xfId="0" applyNumberFormat="1" applyFont="1" applyFill="1" applyBorder="1" applyAlignment="1">
      <x:alignment wrapText="1"/>
    </x:xf>
    <x:xf numFmtId="0" fontId="12" fillId="5" borderId="1" xfId="0" applyNumberFormat="1" applyFont="1" applyFill="1" applyBorder="1" applyAlignment="1">
      <x:alignment vertical="top" wrapText="1"/>
    </x:xf>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top" wrapText="1"/>
    </x:xf>
    <x:xf numFmtId="0" fontId="0" fillId="14" borderId="1" xfId="0" applyNumberFormat="1" applyFont="1" applyFill="1" applyBorder="1"/>
    <x:xf numFmtId="0" fontId="12" fillId="14" borderId="1" xfId="0" applyNumberFormat="1" applyFont="1" applyFill="1" applyBorder="1"/>
    <x:xf numFmtId="0" fontId="12" fillId="14" borderId="1" xfId="0" applyNumberFormat="1" applyFont="1" applyFill="1" applyBorder="1" applyAlignment="1">
      <x:alignment wrapText="1"/>
    </x:xf>
    <x:xf numFmtId="0" fontId="12" fillId="14" borderId="1" xfId="0" applyNumberFormat="1" applyFont="1" applyFill="1" applyBorder="1" applyAlignment="1">
      <x:alignment vertical="top" wrapText="1"/>
    </x:xf>
    <x:xf numFmtId="0" fontId="13" fillId="7" borderId="0" xfId="0" applyNumberFormat="1" applyFont="1" applyFill="1" applyBorder="1"/>
    <x:xf numFmtId="0" fontId="13" fillId="7" borderId="0" xfId="0" applyNumberFormat="1" applyFont="1" applyFill="1" applyBorder="1" applyAlignment="1">
      <x:alignment wrapText="1"/>
    </x:xf>
    <x:xf numFmtId="0" fontId="13" fillId="7" borderId="0" xfId="0" applyNumberFormat="1" applyFont="1" applyFill="1" applyBorder="1" applyAlignment="1">
      <x:alignment vertical="top" wrapText="1"/>
    </x:xf>
    <x:xf numFmtId="0" fontId="13" fillId="7" borderId="1" xfId="0" applyNumberFormat="1" applyFont="1" applyFill="1" applyBorder="1"/>
    <x:xf numFmtId="0" fontId="13" fillId="7" borderId="1" xfId="0" applyNumberFormat="1" applyFont="1" applyFill="1" applyBorder="1" applyAlignment="1">
      <x:alignment wrapText="1"/>
    </x:xf>
    <x:xf numFmtId="0" fontId="13" fillId="7" borderId="1" xfId="0" applyNumberFormat="1" applyFont="1" applyFill="1" applyBorder="1" applyAlignment="1">
      <x:alignment vertical="top" wrapText="1"/>
    </x:xf>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vertical="top" wrapText="1"/>
    </x:xf>
    <x:xf numFmtId="0" fontId="12" fillId="8" borderId="1" xfId="0" applyNumberFormat="1" applyFont="1" applyFill="1" applyBorder="1"/>
    <x:xf numFmtId="0" fontId="12" fillId="8" borderId="1" xfId="0" applyNumberFormat="1" applyFont="1" applyFill="1" applyBorder="1" applyAlignment="1">
      <x:alignment wrapText="1"/>
    </x:xf>
    <x:xf numFmtId="0" fontId="12" fillId="8" borderId="1" xfId="0" applyNumberFormat="1" applyFont="1" applyFill="1" applyBorder="1" applyAlignment="1">
      <x:alignment vertical="top" wrapText="1"/>
    </x:xf>
    <x:xf numFmtId="0" fontId="14" fillId="8" borderId="0" xfId="0" applyNumberFormat="1" applyFont="1" applyFill="1" applyBorder="1" applyAlignment="1">
      <x:alignment vertical="top" wrapText="1"/>
    </x:xf>
    <x:xf numFmtId="0" fontId="14" fillId="8" borderId="1" xfId="0" applyNumberFormat="1" applyFont="1" applyFill="1" applyBorder="1" applyAlignment="1">
      <x:alignment vertical="top" wrapText="1"/>
    </x:xf>
    <x:xf numFmtId="200" fontId="12" fillId="5" borderId="0" xfId="0" applyNumberFormat="1" applyFont="1" applyFill="1" applyBorder="1" applyAlignment="1">
      <x:alignment vertical="top" wrapText="1"/>
    </x:xf>
    <x:xf numFmtId="200" fontId="12" fillId="5" borderId="1" xfId="0" applyNumberFormat="1" applyFont="1" applyFill="1" applyBorder="1" applyAlignment="1">
      <x:alignment vertical="top" wrapText="1"/>
    </x:xf>
    <x:xf numFmtId="200" fontId="12" fillId="14" borderId="0" xfId="0" applyNumberFormat="1" applyFont="1" applyFill="1" applyBorder="1" applyAlignment="1">
      <x:alignment vertical="top" wrapText="1"/>
    </x:xf>
    <x:xf numFmtId="200" fontId="12" fillId="14" borderId="1" xfId="0" applyNumberFormat="1" applyFont="1" applyFill="1" applyBorder="1" applyAlignment="1">
      <x:alignment vertical="top" wrapText="1"/>
    </x:xf>
    <x:xf numFmtId="201" fontId="12" fillId="5" borderId="0" xfId="0" applyNumberFormat="1" applyFont="1" applyFill="1" applyBorder="1" applyAlignment="1">
      <x:alignment vertical="top" wrapText="1"/>
    </x:xf>
    <x:xf numFmtId="201" fontId="12" fillId="5" borderId="1" xfId="0" applyNumberFormat="1" applyFont="1" applyFill="1" applyBorder="1" applyAlignment="1">
      <x:alignment vertical="top" wrapText="1"/>
    </x:xf>
    <x:xf numFmtId="202" fontId="12" fillId="5" borderId="0" xfId="0" applyNumberFormat="1" applyFont="1" applyFill="1" applyBorder="1" applyAlignment="1">
      <x:alignment vertical="top" wrapText="1"/>
    </x:xf>
    <x:xf numFmtId="202" fontId="12" fillId="5" borderId="1" xfId="0" applyNumberFormat="1" applyFont="1" applyFill="1" applyBorder="1" applyAlignment="1">
      <x:alignment vertical="top" wrapText="1"/>
    </x:xf>
    <x:xf numFmtId="202" fontId="12" fillId="14" borderId="0" xfId="0" applyNumberFormat="1" applyFont="1" applyFill="1" applyBorder="1" applyAlignment="1">
      <x:alignment vertical="top" wrapText="1"/>
    </x:xf>
    <x:xf numFmtId="202" fontId="12" fillId="14" borderId="1" xfId="0" applyNumberFormat="1" applyFont="1" applyFill="1" applyBorder="1" applyAlignment="1">
      <x:alignment vertical="top" wrapText="1"/>
    </x:xf>
    <x:xf numFmtId="203" fontId="13" fillId="7" borderId="0" xfId="0" applyNumberFormat="1" applyFont="1" applyFill="1" applyBorder="1" applyAlignment="1">
      <x:alignment vertical="top" wrapText="1"/>
    </x:xf>
    <x:xf numFmtId="203" fontId="13" fillId="7" borderId="1" xfId="0" applyNumberFormat="1" applyFont="1" applyFill="1" applyBorder="1" applyAlignment="1">
      <x:alignment vertical="top" wrapText="1"/>
    </x:xf>
    <x:xf numFmtId="204" fontId="13" fillId="7" borderId="0" xfId="0" applyNumberFormat="1" applyFont="1" applyFill="1" applyBorder="1" applyAlignment="1">
      <x:alignment vertical="top" wrapText="1"/>
    </x:xf>
    <x:xf numFmtId="204" fontId="13" fillId="7" borderId="1" xfId="0" applyNumberFormat="1" applyFont="1" applyFill="1" applyBorder="1" applyAlignment="1">
      <x:alignment vertical="top" wrapText="1"/>
    </x:xf>
    <x:xf numFmtId="205" fontId="14" fillId="8" borderId="0" xfId="0" applyNumberFormat="1" applyFont="1" applyFill="1" applyBorder="1" applyAlignment="1">
      <x:alignment vertical="top" wrapText="1"/>
    </x:xf>
    <x:xf numFmtId="205" fontId="14" fillId="8" borderId="1" xfId="0" applyNumberFormat="1" applyFont="1" applyFill="1" applyBorder="1" applyAlignment="1">
      <x:alignment vertical="top" wrapText="1"/>
    </x:xf>
    <x:xf numFmtId="0" fontId="15" fillId="7" borderId="0" xfId="0" applyNumberFormat="1" applyFont="1" applyFill="1" applyBorder="1"/>
    <x:xf numFmtId="0" fontId="15" fillId="7" borderId="1" xfId="0" applyNumberFormat="1" applyFont="1" applyFill="1" applyBorder="1"/>
    <x:xf numFmtId="202" fontId="15" fillId="7" borderId="0" xfId="0" applyNumberFormat="1" applyFont="1" applyFill="1" applyBorder="1"/>
    <x:xf numFmtId="202" fontId="15" fillId="7" borderId="1" xfId="0" applyNumberFormat="1" applyFont="1" applyFill="1" applyBorder="1"/>
    <x:xf numFmtId="203" fontId="15" fillId="7" borderId="0" xfId="0" applyNumberFormat="1" applyFont="1" applyFill="1" applyBorder="1"/>
    <x:xf numFmtId="203" fontId="15" fillId="7" borderId="1" xfId="0" applyNumberFormat="1" applyFont="1" applyFill="1" applyBorder="1"/>
    <x:xf numFmtId="206" fontId="15" fillId="7" borderId="0" xfId="0" applyNumberFormat="1" applyFont="1" applyFill="1" applyBorder="1"/>
    <x:xf numFmtId="206" fontId="15" fillId="7" borderId="1"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left"/>
    </x:xf>
    <x:xf numFmtId="0" fontId="3" fillId="6" borderId="0" xfId="0" applyNumberFormat="1" applyFont="1" applyFill="1" applyBorder="1" applyAlignment="1">
      <x:alignment horizontal="left" vertical="center"/>
    </x:xf>
    <x:xf numFmtId="0" fontId="3" fillId="6" borderId="1" xfId="0" applyNumberFormat="1" applyFont="1" applyFill="1" applyBorder="1"/>
    <x:xf numFmtId="0" fontId="3" fillId="6" borderId="1" xfId="0" applyNumberFormat="1" applyFont="1" applyFill="1" applyBorder="1" applyAlignment="1">
      <x:alignment horizontal="left"/>
    </x:xf>
    <x:xf numFmtId="0" fontId="3" fillId="6" borderId="1" xfId="0" applyNumberFormat="1" applyFont="1" applyFill="1" applyBorder="1" applyAlignment="1">
      <x:alignment horizontal="left" vertical="center"/>
    </x:xf>
    <x:xf numFmtId="205" fontId="15" fillId="7" borderId="0" xfId="0" applyNumberFormat="1" applyFont="1" applyFill="1" applyBorder="1"/>
    <x:xf numFmtId="205" fontId="15" fillId="7" borderId="1"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left"/>
    </x:xf>
    <x:xf numFmtId="0" fontId="3" fillId="12" borderId="0" xfId="0" applyNumberFormat="1" applyFont="1" applyFill="1" applyBorder="1" applyAlignment="1">
      <x:alignment horizontal="left" vertical="center"/>
    </x:xf>
    <x:xf numFmtId="0" fontId="3" fillId="12" borderId="1" xfId="0" applyNumberFormat="1" applyFont="1" applyFill="1" applyBorder="1"/>
    <x:xf numFmtId="0" fontId="3" fillId="12" borderId="1" xfId="0" applyNumberFormat="1" applyFont="1" applyFill="1" applyBorder="1" applyAlignment="1">
      <x:alignment horizontal="left"/>
    </x:xf>
    <x:xf numFmtId="0" fontId="3" fillId="12" borderId="1" xfId="0" applyNumberFormat="1" applyFont="1" applyFill="1" applyBorder="1" applyAlignment="1">
      <x:alignment horizontal="left" vertical="center"/>
    </x:xf>
    <x:xf numFmtId="0" fontId="16" fillId="0" borderId="0" xfId="0" applyNumberFormat="1" applyFont="1" applyFill="1" applyBorder="1" applyAlignment="1">
      <x:alignment wrapText="1"/>
    </x:xf>
    <x:xf numFmtId="0" fontId="16" fillId="0" borderId="1" xfId="0" applyNumberFormat="1" applyFont="1" applyFill="1" applyBorder="1" applyAlignment="1">
      <x:alignment wrapText="1"/>
    </x:xf>
    <x:xf numFmtId="202" fontId="16" fillId="0" borderId="0" xfId="0" applyNumberFormat="1" applyFont="1" applyFill="1" applyBorder="1" applyAlignment="1">
      <x:alignment wrapText="1"/>
    </x:xf>
    <x:xf numFmtId="202" fontId="16" fillId="0" borderId="1" xfId="0" applyNumberFormat="1" applyFont="1" applyFill="1" applyBorder="1" applyAlignment="1">
      <x:alignment wrapText="1"/>
    </x:xf>
    <x:xf numFmtId="203" fontId="16" fillId="0" borderId="0" xfId="0" applyNumberFormat="1" applyFont="1" applyFill="1" applyBorder="1" applyAlignment="1">
      <x:alignment wrapText="1"/>
    </x:xf>
    <x:xf numFmtId="203" fontId="16" fillId="0" borderId="1" xfId="0" applyNumberFormat="1" applyFont="1" applyFill="1" applyBorder="1" applyAlignment="1">
      <x:alignment wrapText="1"/>
    </x:xf>
    <x:xf numFmtId="206" fontId="16" fillId="0" borderId="0" xfId="0" applyNumberFormat="1" applyFont="1" applyFill="1" applyBorder="1" applyAlignment="1">
      <x:alignment wrapText="1"/>
    </x:xf>
    <x:xf numFmtId="206" fontId="16" fillId="0" borderId="1" xfId="0" applyNumberFormat="1" applyFont="1" applyFill="1" applyBorder="1" applyAlignment="1">
      <x:alignment wrapText="1"/>
    </x:xf>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3" fillId="10" borderId="1" xfId="0" applyNumberFormat="1" applyFont="1" applyFill="1" applyBorder="1"/>
    <x:xf numFmtId="0" fontId="3" fillId="10" borderId="1" xfId="0" applyNumberFormat="1" applyFont="1" applyFill="1" applyBorder="1" applyAlignment="1">
      <x:alignment horizontal="left"/>
    </x:xf>
    <x:xf numFmtId="0" fontId="3" fillId="10" borderId="1" xfId="0" applyNumberFormat="1" applyFont="1" applyFill="1" applyBorder="1" applyAlignment="1">
      <x:alignment horizontal="left" vertical="center"/>
    </x:xf>
    <x:xf numFmtId="0" fontId="11" fillId="13" borderId="0" xfId="0" applyNumberFormat="1" applyFont="1" applyFill="1" applyBorder="1"/>
    <x:xf numFmtId="0" fontId="11" fillId="13" borderId="0" xfId="0" applyNumberFormat="1" applyFont="1" applyFill="1" applyBorder="1" applyAlignment="1">
      <x:alignment wrapText="1"/>
    </x:xf>
    <x:xf numFmtId="0" fontId="11" fillId="13" borderId="0" xfId="0" applyNumberFormat="1" applyFont="1" applyFill="1" applyBorder="1" applyAlignment="1">
      <x:alignment vertical="top" wrapText="1"/>
    </x:xf>
    <x:xf numFmtId="0" fontId="11" fillId="13" borderId="1" xfId="0" applyNumberFormat="1" applyFont="1" applyFill="1" applyBorder="1"/>
    <x:xf numFmtId="0" fontId="11" fillId="13" borderId="1" xfId="0" applyNumberFormat="1" applyFont="1" applyFill="1" applyBorder="1" applyAlignment="1">
      <x:alignment wrapText="1"/>
    </x:xf>
    <x:xf numFmtId="0" fontId="11" fillId="13" borderId="1" xfId="0" applyNumberFormat="1" applyFont="1" applyFill="1" applyBorder="1" applyAlignment="1">
      <x:alignment vertical="top" wrapText="1"/>
    </x:xf>
    <x:xf numFmtId="205" fontId="12" fillId="5" borderId="0" xfId="0" applyNumberFormat="1" applyFont="1" applyFill="1" applyBorder="1" applyAlignment="1">
      <x:alignment vertical="top" wrapText="1"/>
    </x:xf>
    <x:xf numFmtId="205" fontId="12" fillId="5" borderId="1" xfId="0" applyNumberFormat="1" applyFont="1" applyFill="1" applyBorder="1" applyAlignment="1">
      <x:alignment vertical="top" wrapText="1"/>
    </x:xf>
    <x:xf numFmtId="207" fontId="12" fillId="5" borderId="0" xfId="0" applyNumberFormat="1" applyFont="1" applyFill="1" applyBorder="1" applyAlignment="1">
      <x:alignment vertical="top" wrapText="1"/>
    </x:xf>
    <x:xf numFmtId="207" fontId="12" fillId="5" borderId="1" xfId="0" applyNumberFormat="1" applyFont="1" applyFill="1" applyBorder="1" applyAlignment="1">
      <x:alignment vertical="top" wrapText="1"/>
    </x:xf>
    <x:xf numFmtId="202" fontId="13" fillId="7" borderId="0" xfId="0" applyNumberFormat="1" applyFont="1" applyFill="1" applyBorder="1" applyAlignment="1">
      <x:alignment vertical="top" wrapText="1"/>
    </x:xf>
    <x:xf numFmtId="202" fontId="13" fillId="7" borderId="1" xfId="0" applyNumberFormat="1" applyFont="1" applyFill="1" applyBorder="1" applyAlignment="1">
      <x:alignment vertical="top" wrapText="1"/>
    </x:xf>
    <x:xf numFmtId="206" fontId="13" fillId="7" borderId="0" xfId="0" applyNumberFormat="1" applyFont="1" applyFill="1" applyBorder="1" applyAlignment="1">
      <x:alignment vertical="top" wrapText="1"/>
    </x:xf>
    <x:xf numFmtId="206" fontId="12" fillId="5" borderId="0" xfId="0" applyNumberFormat="1" applyFont="1" applyFill="1" applyBorder="1" applyAlignment="1">
      <x:alignment vertical="top" wrapText="1"/>
    </x:xf>
    <x:xf numFmtId="206" fontId="13" fillId="7" borderId="1" xfId="0" applyNumberFormat="1" applyFont="1" applyFill="1" applyBorder="1" applyAlignment="1">
      <x:alignment vertical="top" wrapText="1"/>
    </x:xf>
    <x:xf numFmtId="206" fontId="12" fillId="5" borderId="1" xfId="0" applyNumberFormat="1" applyFont="1" applyFill="1" applyBorder="1" applyAlignment="1">
      <x:alignment vertical="top" wrapText="1"/>
    </x:xf>
    <x:xf numFmtId="0" fontId="3" fillId="11" borderId="0" xfId="0" applyNumberFormat="1" applyFont="1" applyFill="1" applyBorder="1"/>
    <x:xf numFmtId="0" fontId="3" fillId="11" borderId="0" xfId="0" applyNumberFormat="1" applyFont="1" applyFill="1" applyBorder="1" applyAlignment="1">
      <x:alignment horizontal="left"/>
    </x:xf>
    <x:xf numFmtId="0" fontId="3" fillId="11" borderId="0" xfId="0" applyNumberFormat="1" applyFont="1" applyFill="1" applyBorder="1" applyAlignment="1">
      <x:alignment horizontal="left" vertical="center"/>
    </x:xf>
    <x:xf numFmtId="0" fontId="3" fillId="11" borderId="1" xfId="0" applyNumberFormat="1" applyFont="1" applyFill="1" applyBorder="1"/>
    <x:xf numFmtId="0" fontId="3" fillId="11" borderId="1" xfId="0" applyNumberFormat="1" applyFont="1" applyFill="1" applyBorder="1" applyAlignment="1">
      <x:alignment horizontal="left"/>
    </x:xf>
    <x:xf numFmtId="0" fontId="3" fillId="11" borderId="1" xfId="0" applyNumberFormat="1" applyFont="1" applyFill="1" applyBorder="1" applyAlignment="1">
      <x:alignment horizontal="left" vertical="center"/>
    </x:xf>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wrapText="1"/>
    </x:xf>
    <x:xf numFmtId="0" fontId="0" fillId="7" borderId="1" xfId="0" applyNumberFormat="1" applyFont="1" applyFill="1" applyBorder="1" applyAlignment="1">
      <x:alignment vertical="top"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4" fillId="0" borderId="0" xfId="0" applyNumberFormat="1" applyFont="1" applyFill="1" applyBorder="1" applyAlignment="1">
      <x:alignment horizontal="center" vertical="center"/>
    </x:xf>
    <x:xf numFmtId="0" fontId="7" fillId="5"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8" fillId="5" borderId="0" xfId="0" applyNumberFormat="1" applyFont="1" applyFill="1" applyBorder="1" applyAlignment="1">
      <x:alignment vertical="center"/>
    </x:xf>
    <x:xf numFmtId="0" fontId="9" fillId="7" borderId="0" xfId="0" applyNumberFormat="1" applyFont="1" applyFill="1" applyBorder="1" applyAlignment="1">
      <x:alignment vertical="center"/>
    </x:xf>
    <x:xf numFmtId="0" fontId="10" fillId="8" borderId="0" xfId="0" applyNumberFormat="1" applyFont="1" applyFill="1" applyBorder="1" applyAlignment="1">
      <x:alignment vertical="center"/>
    </x:xf>
    <x:xf numFmtId="0" fontId="7" fillId="7"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4" fillId="0" borderId="1" xfId="0" applyNumberFormat="1" applyFont="1" applyFill="1" applyBorder="1" applyAlignment="1">
      <x:alignment horizontal="center" vertical="center"/>
    </x:xf>
    <x:xf numFmtId="0" fontId="7" fillId="5" borderId="1"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8" fillId="5" borderId="1" xfId="0" applyNumberFormat="1" applyFont="1" applyFill="1" applyBorder="1" applyAlignment="1">
      <x:alignment vertical="center"/>
    </x:xf>
    <x:xf numFmtId="0" fontId="9" fillId="7" borderId="1" xfId="0" applyNumberFormat="1" applyFont="1" applyFill="1" applyBorder="1" applyAlignment="1">
      <x:alignment vertical="center"/>
    </x:xf>
    <x:xf numFmtId="0" fontId="10" fillId="8" borderId="1" xfId="0" applyNumberFormat="1" applyFont="1" applyFill="1" applyBorder="1" applyAlignment="1">
      <x:alignment vertical="center"/>
    </x:xf>
    <x:xf numFmtId="0" fontId="7" fillId="7" borderId="1" xfId="0" applyNumberFormat="1" applyFont="1" applyFill="1" applyBorder="1" applyAlignment="1">
      <x:alignment vertical="center" wrapText="1"/>
    </x:xf>
    <x:xf numFmtId="0" fontId="11" fillId="0" borderId="0" xfId="0" applyNumberFormat="1" applyFont="1" applyFill="1" applyBorder="1" applyAlignment="1">
      <x:alignment horizontal="left" vertical="center"/>
    </x:xf>
    <x:xf numFmtId="0" fontId="9" fillId="13" borderId="0" xfId="0" applyNumberFormat="1" applyFont="1" applyFill="1" applyBorder="1" applyAlignment="1">
      <x:alignment horizontal="center" vertical="center"/>
    </x:xf>
    <x:xf numFmtId="0" fontId="12" fillId="5" borderId="0" xfId="0" applyNumberFormat="1" applyFont="1" applyFill="1" applyBorder="1" applyAlignment="1">
      <x:alignment vertical="center" wrapText="1"/>
    </x:xf>
    <x:xf numFmtId="200" fontId="12" fillId="5" borderId="0" xfId="0" applyNumberFormat="1" applyFont="1" applyFill="1" applyBorder="1" applyAlignment="1">
      <x:alignment vertical="center" wrapText="1"/>
    </x:xf>
    <x:xf numFmtId="201" fontId="12" fillId="5" borderId="0" xfId="0" applyNumberFormat="1" applyFont="1" applyFill="1" applyBorder="1" applyAlignment="1">
      <x:alignment vertical="center" wrapText="1"/>
    </x:xf>
    <x:xf numFmtId="202" fontId="12" fillId="5" borderId="0" xfId="0" applyNumberFormat="1" applyFont="1" applyFill="1" applyBorder="1" applyAlignment="1">
      <x:alignment vertical="center" wrapText="1"/>
    </x:xf>
    <x:xf numFmtId="200" fontId="12" fillId="14" borderId="0" xfId="0" applyNumberFormat="1" applyFont="1" applyFill="1" applyBorder="1" applyAlignment="1">
      <x:alignment vertical="center" wrapText="1"/>
    </x:xf>
    <x:xf numFmtId="202" fontId="12" fillId="14" borderId="0" xfId="0" applyNumberFormat="1" applyFont="1" applyFill="1" applyBorder="1" applyAlignment="1">
      <x:alignment vertical="center" wrapText="1"/>
    </x:xf>
    <x:xf numFmtId="203" fontId="13" fillId="7" borderId="0" xfId="0" applyNumberFormat="1" applyFont="1" applyFill="1" applyBorder="1" applyAlignment="1">
      <x:alignment vertical="center" wrapText="1"/>
    </x:xf>
    <x:xf numFmtId="204" fontId="13" fillId="7" borderId="0" xfId="0" applyNumberFormat="1" applyFont="1" applyFill="1" applyBorder="1" applyAlignment="1">
      <x:alignment vertical="center" wrapText="1"/>
    </x:xf>
    <x:xf numFmtId="0" fontId="12" fillId="14" borderId="0" xfId="0" applyNumberFormat="1" applyFont="1" applyFill="1" applyBorder="1" applyAlignment="1">
      <x:alignment vertical="center" wrapText="1"/>
    </x:xf>
    <x:xf numFmtId="0" fontId="14" fillId="8" borderId="0" xfId="0" applyNumberFormat="1" applyFont="1" applyFill="1" applyBorder="1" applyAlignment="1">
      <x:alignment vertical="center" wrapText="1"/>
    </x:xf>
    <x:xf numFmtId="205" fontId="14" fillId="8" borderId="0" xfId="0" applyNumberFormat="1" applyFont="1" applyFill="1" applyBorder="1" applyAlignment="1">
      <x:alignment vertical="center" wrapText="1"/>
    </x:xf>
    <x:xf numFmtId="0" fontId="11" fillId="0" borderId="1" xfId="0" applyNumberFormat="1" applyFont="1" applyFill="1" applyBorder="1" applyAlignment="1">
      <x:alignment horizontal="left" vertical="center"/>
    </x:xf>
    <x:xf numFmtId="0" fontId="9" fillId="13" borderId="1" xfId="0" applyNumberFormat="1" applyFont="1" applyFill="1" applyBorder="1" applyAlignment="1">
      <x:alignment horizontal="center" vertical="center"/>
    </x:xf>
    <x:xf numFmtId="0" fontId="12" fillId="5" borderId="1" xfId="0" applyNumberFormat="1" applyFont="1" applyFill="1" applyBorder="1" applyAlignment="1">
      <x:alignment vertical="center" wrapText="1"/>
    </x:xf>
    <x:xf numFmtId="200" fontId="12" fillId="5" borderId="1" xfId="0" applyNumberFormat="1" applyFont="1" applyFill="1" applyBorder="1" applyAlignment="1">
      <x:alignment vertical="center" wrapText="1"/>
    </x:xf>
    <x:xf numFmtId="201" fontId="12" fillId="5" borderId="1" xfId="0" applyNumberFormat="1" applyFont="1" applyFill="1" applyBorder="1" applyAlignment="1">
      <x:alignment vertical="center" wrapText="1"/>
    </x:xf>
    <x:xf numFmtId="202" fontId="12" fillId="5" borderId="1" xfId="0" applyNumberFormat="1" applyFont="1" applyFill="1" applyBorder="1" applyAlignment="1">
      <x:alignment vertical="center" wrapText="1"/>
    </x:xf>
    <x:xf numFmtId="200" fontId="12" fillId="14" borderId="1" xfId="0" applyNumberFormat="1" applyFont="1" applyFill="1" applyBorder="1" applyAlignment="1">
      <x:alignment vertical="center" wrapText="1"/>
    </x:xf>
    <x:xf numFmtId="202" fontId="12" fillId="14" borderId="1" xfId="0" applyNumberFormat="1" applyFont="1" applyFill="1" applyBorder="1" applyAlignment="1">
      <x:alignment vertical="center" wrapText="1"/>
    </x:xf>
    <x:xf numFmtId="203" fontId="13" fillId="7" borderId="1" xfId="0" applyNumberFormat="1" applyFont="1" applyFill="1" applyBorder="1" applyAlignment="1">
      <x:alignment vertical="center" wrapText="1"/>
    </x:xf>
    <x:xf numFmtId="204" fontId="13" fillId="7" borderId="1" xfId="0" applyNumberFormat="1" applyFont="1" applyFill="1" applyBorder="1" applyAlignment="1">
      <x:alignment vertical="center" wrapText="1"/>
    </x:xf>
    <x:xf numFmtId="0" fontId="12" fillId="14" borderId="1" xfId="0" applyNumberFormat="1" applyFont="1" applyFill="1" applyBorder="1" applyAlignment="1">
      <x:alignment vertical="center" wrapText="1"/>
    </x:xf>
    <x:xf numFmtId="0" fontId="14" fillId="8" borderId="1" xfId="0" applyNumberFormat="1" applyFont="1" applyFill="1" applyBorder="1" applyAlignment="1">
      <x:alignment vertical="center" wrapText="1"/>
    </x:xf>
    <x:xf numFmtId="205" fontId="14" fillId="8" borderId="1" xfId="0" applyNumberFormat="1" applyFont="1" applyFill="1" applyBorder="1" applyAlignment="1">
      <x:alignment vertical="center" wrapText="1"/>
    </x:xf>
    <x:xf numFmtId="0" fontId="11" fillId="0" borderId="0" xfId="0" applyNumberFormat="1" applyFont="1" applyFill="1" applyBorder="1" applyAlignment="1">
      <x:alignment vertical="center"/>
    </x:xf>
    <x:xf numFmtId="0" fontId="11" fillId="0" borderId="1" xfId="0" applyNumberFormat="1" applyFont="1" applyFill="1" applyBorder="1" applyAlignment="1">
      <x:alignment vertical="center"/>
    </x:xf>
    <x:xf numFmtId="0" fontId="15" fillId="7" borderId="0" xfId="0" applyNumberFormat="1" applyFont="1" applyFill="1" applyBorder="1" applyAlignment="1">
      <x:alignment vertical="center"/>
    </x:xf>
    <x:xf numFmtId="203" fontId="15" fillId="7" borderId="0" xfId="0" applyNumberFormat="1" applyFont="1" applyFill="1" applyBorder="1" applyAlignment="1">
      <x:alignment vertical="center"/>
    </x:xf>
    <x:xf numFmtId="205" fontId="15" fillId="7" borderId="0" xfId="0" applyNumberFormat="1" applyFont="1" applyFill="1" applyBorder="1" applyAlignment="1">
      <x:alignment vertical="center"/>
    </x:xf>
    <x:xf numFmtId="206" fontId="15" fillId="7" borderId="0" xfId="0" applyNumberFormat="1" applyFont="1" applyFill="1" applyBorder="1" applyAlignment="1">
      <x:alignment vertical="center"/>
    </x:xf>
    <x:xf numFmtId="202" fontId="15" fillId="7" borderId="0" xfId="0" applyNumberFormat="1" applyFont="1" applyFill="1" applyBorder="1" applyAlignment="1">
      <x:alignment vertical="center"/>
    </x:xf>
    <x:xf numFmtId="0" fontId="16" fillId="0" borderId="0" xfId="0" applyNumberFormat="1" applyFont="1" applyFill="1" applyBorder="1" applyAlignment="1">
      <x:alignment vertical="center" wrapText="1"/>
    </x:xf>
    <x:xf numFmtId="202" fontId="16" fillId="0" borderId="0" xfId="0" applyNumberFormat="1" applyFont="1" applyFill="1" applyBorder="1" applyAlignment="1">
      <x:alignment vertical="center" wrapText="1"/>
    </x:xf>
    <x:xf numFmtId="203" fontId="16" fillId="0" borderId="0" xfId="0" applyNumberFormat="1" applyFont="1" applyFill="1" applyBorder="1" applyAlignment="1">
      <x:alignment vertical="center" wrapText="1"/>
    </x:xf>
    <x:xf numFmtId="206" fontId="16" fillId="0" borderId="0" xfId="0" applyNumberFormat="1" applyFont="1" applyFill="1" applyBorder="1" applyAlignment="1">
      <x:alignment vertical="center" wrapText="1"/>
    </x:xf>
    <x:xf numFmtId="0" fontId="11" fillId="13" borderId="0" xfId="0" applyNumberFormat="1" applyFont="1" applyFill="1" applyBorder="1" applyAlignment="1">
      <x:alignment vertical="center" wrapText="1"/>
    </x:xf>
    <x:xf numFmtId="0" fontId="15" fillId="7" borderId="1" xfId="0" applyNumberFormat="1" applyFont="1" applyFill="1" applyBorder="1" applyAlignment="1">
      <x:alignment vertical="center"/>
    </x:xf>
    <x:xf numFmtId="203" fontId="15" fillId="7" borderId="1" xfId="0" applyNumberFormat="1" applyFont="1" applyFill="1" applyBorder="1" applyAlignment="1">
      <x:alignment vertical="center"/>
    </x:xf>
    <x:xf numFmtId="205" fontId="15" fillId="7" borderId="1" xfId="0" applyNumberFormat="1" applyFont="1" applyFill="1" applyBorder="1" applyAlignment="1">
      <x:alignment vertical="center"/>
    </x:xf>
    <x:xf numFmtId="206" fontId="15" fillId="7" borderId="1" xfId="0" applyNumberFormat="1" applyFont="1" applyFill="1" applyBorder="1" applyAlignment="1">
      <x:alignment vertical="center"/>
    </x:xf>
    <x:xf numFmtId="202" fontId="15" fillId="7" borderId="1" xfId="0" applyNumberFormat="1" applyFont="1" applyFill="1" applyBorder="1" applyAlignment="1">
      <x:alignment vertical="center"/>
    </x:xf>
    <x:xf numFmtId="0" fontId="16" fillId="0" borderId="1" xfId="0" applyNumberFormat="1" applyFont="1" applyFill="1" applyBorder="1" applyAlignment="1">
      <x:alignment vertical="center" wrapText="1"/>
    </x:xf>
    <x:xf numFmtId="202" fontId="16" fillId="0" borderId="1" xfId="0" applyNumberFormat="1" applyFont="1" applyFill="1" applyBorder="1" applyAlignment="1">
      <x:alignment vertical="center" wrapText="1"/>
    </x:xf>
    <x:xf numFmtId="203" fontId="16" fillId="0" borderId="1" xfId="0" applyNumberFormat="1" applyFont="1" applyFill="1" applyBorder="1" applyAlignment="1">
      <x:alignment vertical="center" wrapText="1"/>
    </x:xf>
    <x:xf numFmtId="206" fontId="16" fillId="0" borderId="1" xfId="0" applyNumberFormat="1" applyFont="1" applyFill="1" applyBorder="1" applyAlignment="1">
      <x:alignment vertical="center" wrapText="1"/>
    </x:xf>
    <x:xf numFmtId="0" fontId="11" fillId="13" borderId="1" xfId="0" applyNumberFormat="1" applyFont="1" applyFill="1" applyBorder="1" applyAlignment="1">
      <x:alignment vertical="center" wrapText="1"/>
    </x:xf>
    <x:xf numFmtId="205" fontId="12" fillId="5" borderId="0" xfId="0" applyNumberFormat="1" applyFont="1" applyFill="1" applyBorder="1" applyAlignment="1">
      <x:alignment vertical="center" wrapText="1"/>
    </x:xf>
    <x:xf numFmtId="0" fontId="12" fillId="8" borderId="0" xfId="0" applyNumberFormat="1" applyFont="1" applyFill="1" applyBorder="1" applyAlignment="1">
      <x:alignment vertical="center" wrapText="1"/>
    </x:xf>
    <x:xf numFmtId="205" fontId="12" fillId="5" borderId="1" xfId="0" applyNumberFormat="1" applyFont="1" applyFill="1" applyBorder="1" applyAlignment="1">
      <x:alignment vertical="center" wrapText="1"/>
    </x:xf>
    <x:xf numFmtId="0" fontId="12" fillId="8" borderId="1" xfId="0" applyNumberFormat="1" applyFont="1" applyFill="1" applyBorder="1" applyAlignment="1">
      <x:alignment vertical="center" wrapText="1"/>
    </x:xf>
    <x:xf numFmtId="207" fontId="12" fillId="5" borderId="0" xfId="0" applyNumberFormat="1" applyFont="1" applyFill="1" applyBorder="1" applyAlignment="1">
      <x:alignment vertical="center" wrapText="1"/>
    </x:xf>
    <x:xf numFmtId="202" fontId="13" fillId="7" borderId="0" xfId="0" applyNumberFormat="1" applyFont="1" applyFill="1" applyBorder="1" applyAlignment="1">
      <x:alignment vertical="center" wrapText="1"/>
    </x:xf>
    <x:xf numFmtId="206" fontId="13" fillId="7" borderId="0" xfId="0" applyNumberFormat="1" applyFont="1" applyFill="1" applyBorder="1" applyAlignment="1">
      <x:alignment vertical="center" wrapText="1"/>
    </x:xf>
    <x:xf numFmtId="206" fontId="12" fillId="5" borderId="0" xfId="0" applyNumberFormat="1" applyFont="1" applyFill="1" applyBorder="1" applyAlignment="1">
      <x:alignment vertical="center" wrapText="1"/>
    </x:xf>
    <x:xf numFmtId="207" fontId="12" fillId="5" borderId="1" xfId="0" applyNumberFormat="1" applyFont="1" applyFill="1" applyBorder="1" applyAlignment="1">
      <x:alignment vertical="center" wrapText="1"/>
    </x:xf>
    <x:xf numFmtId="202" fontId="13" fillId="7" borderId="1" xfId="0" applyNumberFormat="1" applyFont="1" applyFill="1" applyBorder="1" applyAlignment="1">
      <x:alignment vertical="center" wrapText="1"/>
    </x:xf>
    <x:xf numFmtId="206" fontId="13" fillId="7" borderId="1" xfId="0" applyNumberFormat="1" applyFont="1" applyFill="1" applyBorder="1" applyAlignment="1">
      <x:alignment vertical="center" wrapText="1"/>
    </x:xf>
    <x:xf numFmtId="206" fontId="12" fillId="5" borderId="1" xfId="0" applyNumberFormat="1" applyFont="1" applyFill="1" applyBorder="1" applyAlignment="1">
      <x:alignment vertical="center" wrapText="1"/>
    </x:xf>
    <x:xf numFmtId="0" fontId="0" fillId="7" borderId="0" xfId="0" applyNumberFormat="1" applyFont="1" applyFill="1" applyBorder="1" applyAlignment="1">
      <x:alignment vertical="center" wrapText="1"/>
    </x:xf>
  </x:cellXfs>
  <x:cellStyles count="1">
    <x:cellStyle name="Normal" xfId="0"/>
  </x:cellStyles>
  <x:dxfs count="2">
    <x:dxf>
      <x:font>
        <x:b/>
        <x:color rgb="FF548235"/>
      </x:font>
      <x:fill>
        <x:patternFill patternType="solid">
          <x:bgColor rgb="FFE2F0D9"/>
        </x:patternFill>
      </x:fill>
    </x:dxf>
    <x:dxf>
      <x:font>
        <x:b/>
        <x:color rgb="FFC0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f51f0bcf584afb" /><Relationship Type="http://schemas.openxmlformats.org/officeDocument/2006/relationships/theme" Target="/xl/theme/theme1.xml" Id="Rb286cc736e214cf5" /><Relationship Type="http://schemas.openxmlformats.org/officeDocument/2006/relationships/sharedStrings" Target="/xl/sharedStrings.xml" Id="R749c8b4f2ad24cc7" /><Relationship Type="http://schemas.openxmlformats.org/officeDocument/2006/relationships/worksheet" Target="/xl/worksheets/sheet1.xml" Id="Rc62de6b5c6f74baa" /><Relationship Type="http://schemas.openxmlformats.org/officeDocument/2006/relationships/worksheet" Target="/xl/worksheets/sheet2.xml" Id="R0f69bf612f5b4e30" /><Relationship Type="http://schemas.openxmlformats.org/officeDocument/2006/relationships/worksheet" Target="/xl/worksheets/sheet3.xml" Id="R45b4785716814e26" /><Relationship Type="http://schemas.openxmlformats.org/officeDocument/2006/relationships/worksheet" Target="/xl/worksheets/sheet4.xml" Id="R0f6ea68550e04ddc" /><Relationship Type="http://schemas.openxmlformats.org/officeDocument/2006/relationships/worksheet" Target="/xl/worksheets/sheet5.xml" Id="R58213ebe78c045a3" /><Relationship Type="http://schemas.openxmlformats.org/officeDocument/2006/relationships/worksheet" Target="/xl/worksheets/sheet6.xml" Id="R81dbea63a2eb4db2" /><Relationship Type="http://schemas.openxmlformats.org/officeDocument/2006/relationships/worksheet" Target="/xl/worksheets/sheet7.xml" Id="R8028434cc12a4576" /></Relationships>
</file>

<file path=xl/tables/table1.xml><?xml version="1.0" encoding="utf-8"?>
<x:table xmlns:x="http://schemas.openxmlformats.org/spreadsheetml/2006/main" id="1" name="TradeJournalTable" displayName="TradeJournalTable" ref="A4:AS54" headerRowCount="1" totalsRowCount="0" totalsRowShown="0">
  <x:tableColumns count="45">
    <x:tableColumn id="1" name="Trade ID"/>
    <x:tableColumn id="2" name="Candidate ID (Optional)"/>
    <x:tableColumn id="3" name="Status"/>
    <x:tableColumn id="4" name="Ticker"/>
    <x:tableColumn id="5" name="Instrument"/>
    <x:tableColumn id="6" name="Direction"/>
    <x:tableColumn id="7" name="Source"/>
    <x:tableColumn id="8" name="Provider / Product"/>
    <x:tableColumn id="9" name="Control Model"/>
    <x:tableColumn id="10" name="Strategy / Setup"/>
    <x:tableColumn id="11" name="Entry Confirmation"/>
    <x:tableColumn id="12" name="Source Thesis / Signal"/>
    <x:tableColumn id="13" name="Entry Rule"/>
    <x:tableColumn id="14" name="Entry Date"/>
    <x:tableColumn id="15" name="Quantity"/>
    <x:tableColumn id="16" name="Avg Entry Price"/>
    <x:tableColumn id="17" name="Stop / Invalidation Price"/>
    <x:tableColumn id="18" name="Stop Rule / Condition"/>
    <x:tableColumn id="19" name="Target / Exit Method"/>
    <x:tableColumn id="20" name="Planned Risk ($)"/>
    <x:tableColumn id="21" name="Risk Tier"/>
    <x:tableColumn id="22" name="Holding Window"/>
    <x:tableColumn id="23" name="Event Risk"/>
    <x:tableColumn id="24" name="Review Cadence"/>
    <x:tableColumn id="25" name="Exit Date"/>
    <x:tableColumn id="26" name="Avg Exit Price"/>
    <x:tableColumn id="27" name="Net P/L ($)"/>
    <x:tableColumn id="28" name="Result (R)"/>
    <x:tableColumn id="29" name="Holding Days"/>
    <x:tableColumn id="30" name="Exit Reason"/>
    <x:tableColumn id="31" name="Rule Adherence"/>
    <x:tableColumn id="32" name="Post-Trade Diagnosis"/>
    <x:tableColumn id="33" name="One Lesson"/>
    <x:tableColumn id="34" name="Notes"/>
    <x:tableColumn id="35" name="Weekly Trend"/>
    <x:tableColumn id="36" name="Daily Price Location"/>
    <x:tableColumn id="37" name="SMA State"/>
    <x:tableColumn id="38" name="9 SMA vs 20 SMA"/>
    <x:tableColumn id="39" name="Daily RSI(14)"/>
    <x:tableColumn id="40" name="4H RSI(14)"/>
    <x:tableColumn id="41" name="RSI Extreme"/>
    <x:tableColumn id="42" name="MACD State"/>
    <x:tableColumn id="43" name="Short Interest Trend"/>
    <x:tableColumn id="44" name="Analyst Influence"/>
    <x:tableColumn id="45" name="MTF Observation"/>
  </x:tableColumns>
  <x:tableStyleInfo name="TableStyleMedium2" showFirstColumn="0" showLastColumn="0" showRowStripes="1" showColumnStripes="0"/>
</x:table>
</file>

<file path=xl/tables/table2.xml><?xml version="1.0" encoding="utf-8"?>
<x:table xmlns:x="http://schemas.openxmlformats.org/spreadsheetml/2006/main" id="2" name="CandidateLogTable" displayName="CandidateLogTable" ref="A4:T104" headerRowCount="1" totalsRowCount="0" totalsRowShown="0">
  <x:tableColumns count="20">
    <x:tableColumn id="1" name="Candidate ID"/>
    <x:tableColumn id="2" name="Alert / Idea Date"/>
    <x:tableColumn id="3" name="Ticker"/>
    <x:tableColumn id="4" name="Direction"/>
    <x:tableColumn id="5" name="Source"/>
    <x:tableColumn id="6" name="Provider / Product"/>
    <x:tableColumn id="7" name="Channel / Feature"/>
    <x:tableColumn id="8" name="Source Thesis / Signal"/>
    <x:tableColumn id="9" name="Provider Entry Range"/>
    <x:tableColumn id="10" name="Provider Stop / Target"/>
    <x:tableColumn id="11" name="Setup Considered"/>
    <x:tableColumn id="12" name="MTF Observation"/>
    <x:tableColumn id="13" name="Analyst Influence"/>
    <x:tableColumn id="14" name="Candidate Status"/>
    <x:tableColumn id="15" name="Decision Reason"/>
    <x:tableColumn id="16" name="Price When Evaluated"/>
    <x:tableColumn id="17" name="Linked Trade ID"/>
    <x:tableColumn id="18" name="1-Month Check Price"/>
    <x:tableColumn id="19" name="3-Month Check Price"/>
    <x:tableColumn id="20" name="Notes"/>
  </x:tableColumns>
  <x:tableStyleInfo name="TableStyleMedium2" showFirstColumn="0" showLastColumn="0" showRowStripes="1" showColumnStripes="0"/>
</x:table>
</file>

<file path=xl/tables/table3.xml><?xml version="1.0" encoding="utf-8"?>
<x:table xmlns:x="http://schemas.openxmlformats.org/spreadsheetml/2006/main" id="3" name="AutomatedMonthlyTable" displayName="AutomatedMonthlyTable" ref="A4:O40" headerRowCount="1" totalsRowCount="0" totalsRowShown="0">
  <x:tableColumns count="15">
    <x:tableColumn id="1" name="Month"/>
    <x:tableColumn id="2" name="System"/>
    <x:tableColumn id="3" name="Beginning Value"/>
    <x:tableColumn id="4" name="Deposits"/>
    <x:tableColumn id="5" name="Withdrawals"/>
    <x:tableColumn id="6" name="Ending Value"/>
    <x:tableColumn id="7" name="Trading P/L"/>
    <x:tableColumn id="8" name="Fixed Fees"/>
    <x:tableColumn id="9" name="Net After Fees"/>
    <x:tableColumn id="10" name="Simple Net Return"/>
    <x:tableColumn id="11" name="Max Drawdown"/>
    <x:tableColumn id="12" name="Manual Intervention"/>
    <x:tableColumn id="13" name="Strategy / Scaling Change"/>
    <x:tableColumn id="14" name="Decision"/>
    <x:tableColumn id="15" name="Notes"/>
  </x:tableColumns>
  <x:tableStyleInfo name="TableStyleMedium2" showFirstColumn="0" showLastColumn="0" showRowStripes="1" showColumnStripes="0"/>
</x:table>
</file>

<file path=xl/tables/table4.xml><?xml version="1.0" encoding="utf-8"?>
<x:table xmlns:x="http://schemas.openxmlformats.org/spreadsheetml/2006/main" id="4" name="SourceCostsTable" displayName="SourceCostsTable" ref="A44:D64" headerRowCount="1" totalsRowCount="0" totalsRowShown="0">
  <x:tableColumns count="4">
    <x:tableColumn id="1" name="Month"/>
    <x:tableColumn id="2" name="Service"/>
    <x:tableColumn id="3" name="Fee"/>
    <x:tableColumn id="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d4fc87d38e1444b" /></Relationships>
</file>

<file path=xl/worksheets/_rels/sheet3.xml.rels>&#65279;<?xml version="1.0" encoding="utf-8"?><Relationships xmlns="http://schemas.openxmlformats.org/package/2006/relationships"><Relationship Type="http://schemas.openxmlformats.org/officeDocument/2006/relationships/table" Target="/xl/tables/table2.xml" Id="R801d30df10364b33" /></Relationships>
</file>

<file path=xl/worksheets/_rels/sheet6.xml.rels>&#65279;<?xml version="1.0" encoding="utf-8"?><Relationships xmlns="http://schemas.openxmlformats.org/package/2006/relationships"><Relationship Type="http://schemas.openxmlformats.org/officeDocument/2006/relationships/table" Target="/xl/tables/table3.xml" Id="R9fca9fe044174fec" /><Relationship Type="http://schemas.openxmlformats.org/officeDocument/2006/relationships/table" Target="/xl/tables/table4.xml" Id="R9b7f5e5d083b461a" /></Relationships>
</file>

<file path=xl/worksheets/sheet1.xml><?xml version="1.0" encoding="utf-8"?>
<x:worksheet xmlns:x="http://schemas.openxmlformats.org/spreadsheetml/2006/main">
  <x:sheetFormatPr defaultRowHeight="15"/>
  <x:cols>
    <x:col min="1" max="1" width="24" hidden="0" customWidth="1"/>
    <x:col min="2" max="2" width="48" hidden="0" customWidth="1"/>
    <x:col min="3" max="3" width="18" hidden="0" customWidth="1"/>
    <x:col min="4" max="4" width="24" hidden="0" customWidth="1"/>
    <x:col min="5" max="5" width="18" hidden="0" customWidth="1"/>
    <x:col min="6" max="6" width="22" hidden="0" customWidth="1"/>
    <x:col min="7" max="7" width="22" hidden="0" customWidth="1"/>
    <x:col min="8" max="8" width="22" hidden="0" customWidth="1"/>
  </x:cols>
  <x:sheetData>
    <x:row r="1" ht="30" customHeight="1">
      <x:c r="A1" s="5" t="str">
        <x:v>EdgeFinder Trade Journal — Fresh-Slate Pilot v0.1</x:v>
      </x:c>
      <x:c r="B1" s="5"/>
      <x:c r="C1" s="5"/>
      <x:c r="D1" s="5"/>
      <x:c r="E1" s="5"/>
      <x:c r="F1" s="5"/>
      <x:c r="G1" s="5"/>
      <x:c r="H1" s="5"/>
    </x:row>
    <x:row r="2">
      <x:c r="A2" s="13" t="str">
        <x:v>Pilot start: 2026-09-01 | Use only for new discretionary trades opened after the pilot begins.</x:v>
      </x:c>
      <x:c r="B2" s="13"/>
      <x:c r="C2" s="13"/>
      <x:c r="D2" s="13"/>
      <x:c r="E2" s="13"/>
      <x:c r="F2" s="13"/>
      <x:c r="G2" s="13"/>
      <x:c r="H2" s="13"/>
    </x:row>
    <x:row r="3">
      <x:c r="A3" s="239"/>
      <x:c r="B3" s="239"/>
      <x:c r="C3" s="239"/>
      <x:c r="D3" s="239"/>
      <x:c r="E3" s="239"/>
      <x:c r="F3" s="239"/>
      <x:c r="G3" s="239"/>
      <x:c r="H3" s="239"/>
    </x:row>
    <x:row r="4" ht="22" customHeight="1">
      <x:c r="A4" s="21" t="str">
        <x:v>Pilot objective</x:v>
      </x:c>
      <x:c r="B4" s="21"/>
      <x:c r="C4" s="21"/>
      <x:c r="D4" s="21"/>
      <x:c r="E4" s="21"/>
      <x:c r="F4" s="21"/>
      <x:c r="G4" s="21"/>
      <x:c r="H4" s="21"/>
    </x:row>
    <x:row r="5">
      <x:c r="A5" s="240" t="str">
        <x:v>Capture five new trades with minimal effort, then evaluate whether the journal is useful, clear, and fast enough to keep. Legacy positions such as ASTS and SentinelOne are excluded from pilot performance statistics.</x:v>
      </x:c>
      <x:c r="B5" s="240"/>
      <x:c r="C5" s="240"/>
      <x:c r="D5" s="240"/>
      <x:c r="E5" s="240"/>
      <x:c r="F5" s="240"/>
      <x:c r="G5" s="240"/>
      <x:c r="H5" s="240"/>
    </x:row>
    <x:row r="6">
      <x:c r="A6" s="240"/>
      <x:c r="B6" s="240"/>
      <x:c r="C6" s="240"/>
      <x:c r="D6" s="240"/>
      <x:c r="E6" s="240"/>
      <x:c r="F6" s="240"/>
      <x:c r="G6" s="240"/>
      <x:c r="H6" s="240"/>
    </x:row>
    <x:row r="7">
      <x:c r="A7" s="239"/>
      <x:c r="B7" s="239"/>
      <x:c r="C7" s="239"/>
      <x:c r="D7" s="239"/>
      <x:c r="E7" s="239"/>
      <x:c r="F7" s="239"/>
      <x:c r="G7" s="239"/>
      <x:c r="H7" s="239"/>
    </x:row>
    <x:row r="8" ht="22" customHeight="1">
      <x:c r="A8" s="21" t="str">
        <x:v>How to use the pilot</x:v>
      </x:c>
      <x:c r="B8" s="21"/>
      <x:c r="C8" s="21"/>
      <x:c r="D8" s="21"/>
      <x:c r="E8" s="21"/>
      <x:c r="F8" s="21"/>
      <x:c r="G8" s="21"/>
      <x:c r="H8" s="21"/>
    </x:row>
    <x:row r="9" ht="42" customHeight="1">
      <x:c r="A9" s="241" t="n">
        <x:v>1</x:v>
      </x:c>
      <x:c r="B9" s="240" t="str">
        <x:v>Optional: log a serious idea or provider signal in Candidate Log.</x:v>
      </x:c>
      <x:c r="C9" s="239"/>
      <x:c r="D9" s="239"/>
      <x:c r="E9" s="239"/>
      <x:c r="F9" s="239"/>
      <x:c r="G9" s="239"/>
      <x:c r="H9" s="239"/>
    </x:row>
    <x:row r="10" ht="42" customHeight="1">
      <x:c r="A10" s="241" t="n">
        <x:v>2</x:v>
      </x:c>
      <x:c r="B10" s="240" t="str">
        <x:v>Before entry: complete the blue entry-plan fields in Trade Journal.</x:v>
      </x:c>
      <x:c r="C10" s="239"/>
      <x:c r="D10" s="239"/>
      <x:c r="E10" s="239"/>
      <x:c r="F10" s="239"/>
      <x:c r="G10" s="239"/>
      <x:c r="H10" s="239"/>
    </x:row>
    <x:row r="11" ht="42" customHeight="1">
      <x:c r="A11" s="241" t="n">
        <x:v>3</x:v>
      </x:c>
      <x:c r="B11" s="240" t="str">
        <x:v>After exit: complete the orange exit-review fields; Result (R) and Holding Days calculate automatically.</x:v>
      </x:c>
      <x:c r="C11" s="239"/>
      <x:c r="D11" s="239"/>
      <x:c r="E11" s="239"/>
      <x:c r="F11" s="239"/>
      <x:c r="G11" s="239"/>
      <x:c r="H11" s="239"/>
    </x:row>
    <x:row r="12" ht="42" customHeight="1">
      <x:c r="A12" s="241" t="n">
        <x:v>4</x:v>
      </x:c>
      <x:c r="B12" s="240" t="str">
        <x:v>For each of the first five trades, record logging time and friction in Pilot Feedback.</x:v>
      </x:c>
      <x:c r="C12" s="239"/>
      <x:c r="D12" s="239"/>
      <x:c r="E12" s="239"/>
      <x:c r="F12" s="239"/>
      <x:c r="G12" s="239"/>
      <x:c r="H12" s="239"/>
    </x:row>
    <x:row r="13" ht="42" customHeight="1">
      <x:c r="A13" s="241" t="n">
        <x:v>5</x:v>
      </x:c>
      <x:c r="B13" s="240" t="str">
        <x:v>Send this workbook back after five new trades are entered; closed-trade statistics will populate as exits occur.</x:v>
      </x:c>
      <x:c r="C13" s="239"/>
      <x:c r="D13" s="239"/>
      <x:c r="E13" s="239"/>
      <x:c r="F13" s="239"/>
      <x:c r="G13" s="239"/>
      <x:c r="H13" s="239"/>
    </x:row>
    <x:row r="14">
      <x:c r="A14" s="239"/>
      <x:c r="B14" s="239"/>
      <x:c r="C14" s="239"/>
      <x:c r="D14" s="239"/>
      <x:c r="E14" s="239"/>
      <x:c r="F14" s="239"/>
      <x:c r="G14" s="239"/>
      <x:c r="H14" s="239"/>
    </x:row>
    <x:row r="15" ht="22" customHeight="1">
      <x:c r="A15" s="21" t="str">
        <x:v>Risk guardrails already adopted</x:v>
      </x:c>
      <x:c r="B15" s="21"/>
      <x:c r="C15" s="21"/>
      <x:c r="D15" s="21"/>
      <x:c r="E15" s="239"/>
      <x:c r="F15" s="21" t="str">
        <x:v>What is required</x:v>
      </x:c>
      <x:c r="G15" s="21"/>
      <x:c r="H15" s="21"/>
    </x:row>
    <x:row r="16" ht="42" customHeight="1">
      <x:c r="A16" s="38" t="str">
        <x:v>Rule</x:v>
      </x:c>
      <x:c r="B16" s="38" t="str">
        <x:v>Lower / Review</x:v>
      </x:c>
      <x:c r="C16" s="38" t="str">
        <x:v>Default</x:v>
      </x:c>
      <x:c r="D16" s="38" t="str">
        <x:v>Hard ceiling</x:v>
      </x:c>
      <x:c r="E16" s="239"/>
      <x:c r="F16" s="242" t="str">
        <x:v>Required at entry: source/provider, setup or provider strategy, exact entry rule, stop/invalidation, target or exit method, planned risk, holding window, and event risk.
Required at exit: exit date/price, net P/L, exit reason, rule adherence, diagnosis, and one lesson.
Optional research tags: trend, SMA state, RSI, MACD, short interest, analyst influence, and MTF observation.</x:v>
      </x:c>
      <x:c r="G16" s="242"/>
      <x:c r="H16" s="242"/>
    </x:row>
    <x:row r="17" ht="34" customHeight="1">
      <x:c r="A17" s="240" t="str">
        <x:v>Planned risk per trade</x:v>
      </x:c>
      <x:c r="B17" s="243" t="str">
        <x:v>0.10%–0.15%</x:v>
      </x:c>
      <x:c r="C17" s="243" t="str">
        <x:v>0.20%</x:v>
      </x:c>
      <x:c r="D17" s="243" t="str">
        <x:v>0.30%</x:v>
      </x:c>
      <x:c r="E17" s="239"/>
      <x:c r="F17" s="242"/>
      <x:c r="G17" s="242"/>
      <x:c r="H17" s="242"/>
    </x:row>
    <x:row r="18" ht="34" customHeight="1">
      <x:c r="A18" s="240" t="str">
        <x:v>Combined open swing risk</x:v>
      </x:c>
      <x:c r="B18" s="243" t="str">
        <x:v>—</x:v>
      </x:c>
      <x:c r="C18" s="243" t="str">
        <x:v>1.00% normal</x:v>
      </x:c>
      <x:c r="D18" s="243" t="str">
        <x:v>1.50%</x:v>
      </x:c>
      <x:c r="E18" s="239"/>
      <x:c r="F18" s="242"/>
      <x:c r="G18" s="242"/>
      <x:c r="H18" s="242"/>
    </x:row>
    <x:row r="19" ht="34" customHeight="1">
      <x:c r="A19" s="240" t="str">
        <x:v>Single-company exposure</x:v>
      </x:c>
      <x:c r="B19" s="243" t="str">
        <x:v>4.50% review</x:v>
      </x:c>
      <x:c r="C19" s="243" t="str">
        <x:v>—</x:v>
      </x:c>
      <x:c r="D19" s="243" t="str">
        <x:v>5.00%</x:v>
      </x:c>
      <x:c r="E19" s="239"/>
      <x:c r="F19" s="242"/>
      <x:c r="G19" s="242"/>
      <x:c r="H19" s="242"/>
    </x:row>
    <x:row r="20" ht="34" customHeight="1">
      <x:c r="A20" s="240" t="str">
        <x:v>Risk measurement</x:v>
      </x:c>
      <x:c r="B20" s="240" t="str">
        <x:v>Current/entry price to active stop</x:v>
      </x:c>
      <x:c r="C20" s="240" t="str"/>
      <x:c r="D20" s="240" t="str"/>
      <x:c r="E20" s="239"/>
      <x:c r="F20" s="242"/>
      <x:c r="G20" s="242"/>
      <x:c r="H20" s="242"/>
    </x:row>
    <x:row r="21" ht="34" customHeight="1">
      <x:c r="A21" s="240" t="str">
        <x:v>Provider-driven trade</x:v>
      </x:c>
      <x:c r="B21" s="240" t="str">
        <x:v>Record provider levels and deviations</x:v>
      </x:c>
      <x:c r="C21" s="240" t="str"/>
      <x:c r="D21" s="240" t="str"/>
      <x:c r="E21" s="239"/>
      <x:c r="F21" s="242"/>
      <x:c r="G21" s="242"/>
      <x:c r="H21" s="242"/>
    </x:row>
    <x:row r="22">
      <x:c r="A22" s="239"/>
      <x:c r="B22" s="239"/>
      <x:c r="C22" s="239"/>
      <x:c r="D22" s="239"/>
      <x:c r="E22" s="239"/>
      <x:c r="F22" s="242"/>
      <x:c r="G22" s="242"/>
      <x:c r="H22" s="242"/>
    </x:row>
    <x:row r="23">
      <x:c r="A23" s="239"/>
      <x:c r="B23" s="239"/>
      <x:c r="C23" s="239"/>
      <x:c r="D23" s="239"/>
      <x:c r="E23" s="239"/>
      <x:c r="F23" s="239"/>
      <x:c r="G23" s="239"/>
      <x:c r="H23" s="239"/>
    </x:row>
    <x:row r="24" ht="22" customHeight="1">
      <x:c r="A24" s="21" t="str">
        <x:v>Sheet guide</x:v>
      </x:c>
      <x:c r="B24" s="21"/>
      <x:c r="C24" s="21"/>
      <x:c r="D24" s="21" t="str">
        <x:v>Color key</x:v>
      </x:c>
      <x:c r="E24" s="21"/>
      <x:c r="F24" s="21"/>
      <x:c r="G24" s="21"/>
      <x:c r="H24" s="21"/>
    </x:row>
    <x:row r="25" ht="42" customHeight="1">
      <x:c r="A25" s="57" t="str">
        <x:v>Sheet</x:v>
      </x:c>
      <x:c r="B25" s="57" t="str">
        <x:v>Purpose</x:v>
      </x:c>
      <x:c r="C25" s="239"/>
      <x:c r="D25" s="57" t="str">
        <x:v>Color</x:v>
      </x:c>
      <x:c r="E25" s="57" t="str">
        <x:v>Meaning</x:v>
      </x:c>
      <x:c r="F25" s="57" t="str"/>
      <x:c r="G25" s="57" t="str"/>
      <x:c r="H25" s="57" t="str"/>
    </x:row>
    <x:row r="26" ht="28" customHeight="1">
      <x:c r="A26" s="240" t="str">
        <x:v>Trade Journal</x:v>
      </x:c>
      <x:c r="B26" s="240" t="str">
        <x:v>One row per new executed discretionary trade.</x:v>
      </x:c>
      <x:c r="C26" s="239"/>
      <x:c r="D26" s="244" t="str">
        <x:v>Blue input cells</x:v>
      </x:c>
      <x:c r="E26" s="240" t="str">
        <x:v>You enter or select the value</x:v>
      </x:c>
      <x:c r="F26" s="240" t="str"/>
      <x:c r="G26" s="240" t="str"/>
      <x:c r="H26" s="240" t="str"/>
    </x:row>
    <x:row r="27" ht="28" customHeight="1">
      <x:c r="A27" s="240" t="str">
        <x:v>Candidate Log</x:v>
      </x:c>
      <x:c r="B27" s="240" t="str">
        <x:v>Serious candidates plus missed/skipped Tickeron signals.</x:v>
      </x:c>
      <x:c r="C27" s="239"/>
      <x:c r="D27" s="245" t="str">
        <x:v>Green formula cells</x:v>
      </x:c>
      <x:c r="E27" s="240" t="str">
        <x:v>Calculated automatically</x:v>
      </x:c>
      <x:c r="F27" s="240" t="str"/>
      <x:c r="G27" s="240" t="str"/>
      <x:c r="H27" s="240" t="str"/>
    </x:row>
    <x:row r="28" ht="28" customHeight="1">
      <x:c r="A28" s="240" t="str">
        <x:v>Dashboard</x:v>
      </x:c>
      <x:c r="B28" s="240" t="str">
        <x:v>Pilot progress and closed-trade statistics by source and setup.</x:v>
      </x:c>
      <x:c r="C28" s="239"/>
      <x:c r="D28" s="246" t="str">
        <x:v>Purple input cells</x:v>
      </x:c>
      <x:c r="E28" s="240" t="str">
        <x:v>Optional research tags</x:v>
      </x:c>
      <x:c r="F28" s="240" t="str"/>
      <x:c r="G28" s="240" t="str"/>
      <x:c r="H28" s="240" t="str"/>
    </x:row>
    <x:row r="29" ht="28" customHeight="1">
      <x:c r="A29" s="240" t="str">
        <x:v>Pilot Feedback</x:v>
      </x:c>
      <x:c r="B29" s="240" t="str">
        <x:v>Measures whether logging is fast and useful after five trades.</x:v>
      </x:c>
      <x:c r="C29" s="239"/>
      <x:c r="D29" s="239"/>
      <x:c r="E29" s="239"/>
      <x:c r="F29" s="239"/>
      <x:c r="G29" s="239"/>
      <x:c r="H29" s="239"/>
    </x:row>
    <x:row r="30" ht="28" customHeight="1">
      <x:c r="A30" s="240" t="str">
        <x:v>Automated Monthly</x:v>
      </x:c>
      <x:c r="B30" s="240" t="str">
        <x:v>Optional monthly summaries for Autopilot and Calicut; no trade-by-trade backfill.</x:v>
      </x:c>
      <x:c r="C30" s="239"/>
      <x:c r="D30" s="239"/>
      <x:c r="E30" s="239"/>
      <x:c r="F30" s="239"/>
      <x:c r="G30" s="239"/>
      <x:c r="H30" s="239"/>
    </x:row>
    <x:row r="31" ht="28" customHeight="1">
      <x:c r="A31" s="240" t="str">
        <x:v>Setup &amp; Source Guide</x:v>
      </x:c>
      <x:c r="B31" s="240" t="str">
        <x:v>Definitions for sources, strategies, statuses, and risk rules.</x:v>
      </x:c>
      <x:c r="C31" s="239"/>
      <x:c r="D31" s="239"/>
      <x:c r="E31" s="239"/>
      <x:c r="F31" s="239"/>
      <x:c r="G31" s="239"/>
      <x:c r="H31" s="239"/>
    </x:row>
    <x:row r="32">
      <x:c r="A32" s="239"/>
      <x:c r="B32" s="239"/>
      <x:c r="C32" s="239"/>
      <x:c r="D32" s="239"/>
      <x:c r="E32" s="239"/>
      <x:c r="F32" s="239"/>
      <x:c r="G32" s="239"/>
      <x:c r="H32" s="239"/>
    </x:row>
    <x:row r="33" ht="22" customHeight="1">
      <x:c r="A33" s="76" t="str">
        <x:v>Clean-slate rules</x:v>
      </x:c>
      <x:c r="B33" s="76"/>
      <x:c r="C33" s="76"/>
      <x:c r="D33" s="76"/>
      <x:c r="E33" s="76"/>
      <x:c r="F33" s="76"/>
      <x:c r="G33" s="76"/>
      <x:c r="H33" s="76"/>
    </x:row>
    <x:row r="34">
      <x:c r="A34" s="247" t="str">
        <x:v>• Do not backfill historical trades.
• Existing open positions remain legacy records outside the pilot statistics.
• Autopilot and Calicut are summarized monthly only, unless you manually intervene or copy a trade elsewhere.
• The first new discretionary trade entered here is EF-001.</x:v>
      </x:c>
      <x:c r="B34" s="247"/>
      <x:c r="C34" s="247"/>
      <x:c r="D34" s="247"/>
      <x:c r="E34" s="247"/>
      <x:c r="F34" s="247"/>
      <x:c r="G34" s="247"/>
      <x:c r="H34" s="247"/>
    </x:row>
    <x:row r="35">
      <x:c r="A35" s="247"/>
      <x:c r="B35" s="247"/>
      <x:c r="C35" s="247"/>
      <x:c r="D35" s="247"/>
      <x:c r="E35" s="247"/>
      <x:c r="F35" s="247"/>
      <x:c r="G35" s="247"/>
      <x:c r="H35" s="247"/>
    </x:row>
    <x:row r="36">
      <x:c r="A36" s="247"/>
      <x:c r="B36" s="247"/>
      <x:c r="C36" s="247"/>
      <x:c r="D36" s="247"/>
      <x:c r="E36" s="247"/>
      <x:c r="F36" s="247"/>
      <x:c r="G36" s="247"/>
      <x:c r="H36" s="247"/>
    </x:row>
    <x:row r="37">
      <x:c r="A37" s="247"/>
      <x:c r="B37" s="247"/>
      <x:c r="C37" s="247"/>
      <x:c r="D37" s="247"/>
      <x:c r="E37" s="247"/>
      <x:c r="F37" s="247"/>
      <x:c r="G37" s="247"/>
      <x:c r="H37" s="247"/>
    </x:row>
  </x:sheetData>
  <x:mergeCells>
    <x:mergeCell ref="A1:H1"/>
    <x:mergeCell ref="A2:H2"/>
    <x:mergeCell ref="A4:H4"/>
    <x:mergeCell ref="A5:H6"/>
    <x:mergeCell ref="A8:H8"/>
    <x:mergeCell ref="A15:D15"/>
    <x:mergeCell ref="F15:H15"/>
    <x:mergeCell ref="F16:H22"/>
    <x:mergeCell ref="A24:H24"/>
    <x:mergeCell ref="D24:H24"/>
    <x:mergeCell ref="A33:H33"/>
    <x:mergeCell ref="A34:H37"/>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0" hidden="0" customWidth="1"/>
    <x:col min="5" max="5" width="12" hidden="0" customWidth="1"/>
    <x:col min="6" max="6" width="10" hidden="0" customWidth="1"/>
    <x:col min="7" max="7" width="18" hidden="0" customWidth="1"/>
    <x:col min="8" max="8" width="20" hidden="0" customWidth="1"/>
    <x:col min="9" max="9" width="20" hidden="0" customWidth="1"/>
    <x:col min="10" max="10" width="24" hidden="0" customWidth="1"/>
    <x:col min="11" max="11" width="20" hidden="0" customWidth="1"/>
    <x:col min="12" max="12" width="34" hidden="0" customWidth="1"/>
    <x:col min="13" max="13" width="34" hidden="0" customWidth="1"/>
    <x:col min="14" max="14" width="12" hidden="0" customWidth="1"/>
    <x:col min="15" max="15" width="10" hidden="0" customWidth="1"/>
    <x:col min="16" max="16" width="14" hidden="0" customWidth="1"/>
    <x:col min="17" max="17" width="16" hidden="0" customWidth="1"/>
    <x:col min="18" max="18" width="32" hidden="0" customWidth="1"/>
    <x:col min="19" max="19" width="30" hidden="0" customWidth="1"/>
    <x:col min="20" max="20" width="14" hidden="0" customWidth="1"/>
    <x:col min="21" max="21" width="22" hidden="0" customWidth="1"/>
    <x:col min="22" max="22" width="16" hidden="0" customWidth="1"/>
    <x:col min="23" max="23" width="16" hidden="0" customWidth="1"/>
    <x:col min="24" max="24" width="16" hidden="0" customWidth="1"/>
    <x:col min="25" max="25" width="12" hidden="0" customWidth="1"/>
    <x:col min="26" max="26" width="14" hidden="0" customWidth="1"/>
    <x:col min="27" max="27" width="14" hidden="0" customWidth="1"/>
    <x:col min="28" max="28" width="12" hidden="0" customWidth="1"/>
    <x:col min="29" max="29" width="12" hidden="0" customWidth="1"/>
    <x:col min="30" max="30" width="18" hidden="0" customWidth="1"/>
    <x:col min="31" max="31" width="18" hidden="0" customWidth="1"/>
    <x:col min="32" max="32" width="24" hidden="0" customWidth="1"/>
    <x:col min="33" max="33" width="34" hidden="0" customWidth="1"/>
    <x:col min="34" max="34" width="34" hidden="0" customWidth="1"/>
    <x:col min="35" max="35" width="16" hidden="0" customWidth="1"/>
    <x:col min="36" max="36" width="20" hidden="0" customWidth="1"/>
    <x:col min="37" max="37" width="16" hidden="0" customWidth="1"/>
    <x:col min="38" max="38" width="18" hidden="0" customWidth="1"/>
    <x:col min="39" max="39" width="14" hidden="0" customWidth="1"/>
    <x:col min="40" max="40" width="14" hidden="0" customWidth="1"/>
    <x:col min="41" max="41" width="16" hidden="0" customWidth="1"/>
    <x:col min="42" max="42" width="20" hidden="0" customWidth="1"/>
    <x:col min="43" max="43" width="18" hidden="0" customWidth="1"/>
    <x:col min="44" max="44" width="18" hidden="0" customWidth="1"/>
    <x:col min="45" max="45" width="18" hidden="0" customWidth="1"/>
  </x:cols>
  <x:sheetData>
    <x:row r="1" ht="30" customHeight="1">
      <x:c r="A1" s="5" t="str">
        <x:v>Trade Journal — One Row per New Executed Discretionary Trade</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c r="AN1" s="5"/>
      <x:c r="AO1" s="5"/>
      <x:c r="AP1" s="5"/>
      <x:c r="AQ1" s="5"/>
      <x:c r="AR1" s="5"/>
      <x:c r="AS1" s="5"/>
    </x:row>
    <x:row r="2">
      <x:c r="A2" s="89" t="str">
        <x:v>Complete the blue entry-plan fields before or immediately after entry. Complete orange exit-review fields after closing. Purple research tags are optional during the five-trade usability pilot.</x:v>
      </x:c>
      <x:c r="B2" s="89"/>
      <x:c r="C2" s="89"/>
      <x:c r="D2" s="89"/>
      <x:c r="E2" s="89"/>
      <x:c r="F2" s="89"/>
      <x:c r="G2" s="89"/>
      <x:c r="H2" s="89"/>
      <x:c r="I2" s="89"/>
      <x:c r="J2" s="89"/>
      <x:c r="K2" s="89"/>
      <x:c r="L2" s="89"/>
      <x:c r="M2" s="89"/>
      <x:c r="N2" s="89"/>
      <x:c r="O2" s="89"/>
      <x:c r="P2" s="89"/>
      <x:c r="Q2" s="89"/>
      <x:c r="R2" s="89"/>
      <x:c r="S2" s="89"/>
      <x:c r="T2" s="89"/>
      <x:c r="U2" s="89"/>
      <x:c r="V2" s="89"/>
      <x:c r="W2" s="89"/>
      <x:c r="X2" s="89"/>
      <x:c r="Y2" s="89"/>
      <x:c r="Z2" s="89"/>
      <x:c r="AA2" s="89"/>
      <x:c r="AB2" s="89"/>
      <x:c r="AC2" s="89"/>
      <x:c r="AD2" s="89"/>
      <x:c r="AE2" s="89"/>
      <x:c r="AF2" s="89"/>
      <x:c r="AG2" s="89"/>
      <x:c r="AH2" s="89"/>
      <x:c r="AI2" s="89"/>
      <x:c r="AJ2" s="89"/>
      <x:c r="AK2" s="89"/>
      <x:c r="AL2" s="89"/>
      <x:c r="AM2" s="89"/>
      <x:c r="AN2" s="89"/>
      <x:c r="AO2" s="89"/>
      <x:c r="AP2" s="89"/>
      <x:c r="AQ2" s="89"/>
      <x:c r="AR2" s="89"/>
      <x:c r="AS2" s="89"/>
    </x:row>
    <x:row r="3">
      <x:c r="A3" s="257" t="str">
        <x:v>Required entry plan → columns C:X | Exit review → Y:AH | Optional research tags → AI:AS</x:v>
      </x:c>
      <x:c r="B3" s="257"/>
      <x:c r="C3" s="257"/>
      <x:c r="D3" s="257"/>
      <x:c r="E3" s="257"/>
      <x:c r="F3" s="257"/>
      <x:c r="G3" s="257"/>
      <x:c r="H3" s="257"/>
      <x:c r="I3" s="257"/>
      <x:c r="J3" s="257"/>
      <x:c r="K3" s="257"/>
      <x:c r="L3" s="257"/>
      <x:c r="M3" s="257"/>
      <x:c r="N3" s="257"/>
      <x:c r="O3" s="257"/>
      <x:c r="P3" s="257"/>
      <x:c r="Q3" s="257"/>
      <x:c r="R3" s="257"/>
      <x:c r="S3" s="257"/>
      <x:c r="T3" s="257"/>
      <x:c r="U3" s="257"/>
      <x:c r="V3" s="257"/>
      <x:c r="W3" s="257"/>
      <x:c r="X3" s="257"/>
      <x:c r="Y3" s="257"/>
      <x:c r="Z3" s="257"/>
      <x:c r="AA3" s="257"/>
      <x:c r="AB3" s="257"/>
      <x:c r="AC3" s="257"/>
      <x:c r="AD3" s="257"/>
      <x:c r="AE3" s="257"/>
      <x:c r="AF3" s="257"/>
      <x:c r="AG3" s="257"/>
      <x:c r="AH3" s="257"/>
      <x:c r="AI3" s="257"/>
      <x:c r="AJ3" s="257"/>
      <x:c r="AK3" s="257"/>
      <x:c r="AL3" s="257"/>
      <x:c r="AM3" s="257"/>
      <x:c r="AN3" s="257"/>
      <x:c r="AO3" s="257"/>
      <x:c r="AP3" s="257"/>
      <x:c r="AQ3" s="257"/>
      <x:c r="AR3" s="257"/>
      <x:c r="AS3" s="257"/>
    </x:row>
    <x:row r="4" ht="42" customHeight="1">
      <x:c r="A4" s="101" t="str">
        <x:v>Trade ID</x:v>
      </x:c>
      <x:c r="B4" s="101" t="str">
        <x:v>Candidate ID (Optional)</x:v>
      </x:c>
      <x:c r="C4" s="101" t="str">
        <x:v>Status</x:v>
      </x:c>
      <x:c r="D4" s="38" t="str">
        <x:v>Ticker</x:v>
      </x:c>
      <x:c r="E4" s="38" t="str">
        <x:v>Instrument</x:v>
      </x:c>
      <x:c r="F4" s="38" t="str">
        <x:v>Direction</x:v>
      </x:c>
      <x:c r="G4" s="38" t="str">
        <x:v>Source</x:v>
      </x:c>
      <x:c r="H4" s="38" t="str">
        <x:v>Provider / Product</x:v>
      </x:c>
      <x:c r="I4" s="38" t="str">
        <x:v>Control Model</x:v>
      </x:c>
      <x:c r="J4" s="38" t="str">
        <x:v>Strategy / Setup</x:v>
      </x:c>
      <x:c r="K4" s="38" t="str">
        <x:v>Entry Confirmation</x:v>
      </x:c>
      <x:c r="L4" s="57" t="str">
        <x:v>Source Thesis / Signal</x:v>
      </x:c>
      <x:c r="M4" s="57" t="str">
        <x:v>Entry Rule</x:v>
      </x:c>
      <x:c r="N4" s="57" t="str">
        <x:v>Entry Date</x:v>
      </x:c>
      <x:c r="O4" s="57" t="str">
        <x:v>Quantity</x:v>
      </x:c>
      <x:c r="P4" s="57" t="str">
        <x:v>Avg Entry Price</x:v>
      </x:c>
      <x:c r="Q4" s="57" t="str">
        <x:v>Stop / Invalidation Price</x:v>
      </x:c>
      <x:c r="R4" s="57" t="str">
        <x:v>Stop Rule / Condition</x:v>
      </x:c>
      <x:c r="S4" s="57" t="str">
        <x:v>Target / Exit Method</x:v>
      </x:c>
      <x:c r="T4" s="57" t="str">
        <x:v>Planned Risk ($)</x:v>
      </x:c>
      <x:c r="U4" s="57" t="str">
        <x:v>Risk Tier</x:v>
      </x:c>
      <x:c r="V4" s="57" t="str">
        <x:v>Holding Window</x:v>
      </x:c>
      <x:c r="W4" s="57" t="str">
        <x:v>Event Risk</x:v>
      </x:c>
      <x:c r="X4" s="57" t="str">
        <x:v>Review Cadence</x:v>
      </x:c>
      <x:c r="Y4" s="111" t="str">
        <x:v>Exit Date</x:v>
      </x:c>
      <x:c r="Z4" s="111" t="str">
        <x:v>Avg Exit Price</x:v>
      </x:c>
      <x:c r="AA4" s="111" t="str">
        <x:v>Net P/L ($)</x:v>
      </x:c>
      <x:c r="AB4" s="111" t="str">
        <x:v>Result (R)</x:v>
      </x:c>
      <x:c r="AC4" s="111" t="str">
        <x:v>Holding Days</x:v>
      </x:c>
      <x:c r="AD4" s="111" t="str">
        <x:v>Exit Reason</x:v>
      </x:c>
      <x:c r="AE4" s="111" t="str">
        <x:v>Rule Adherence</x:v>
      </x:c>
      <x:c r="AF4" s="111" t="str">
        <x:v>Post-Trade Diagnosis</x:v>
      </x:c>
      <x:c r="AG4" s="111" t="str">
        <x:v>One Lesson</x:v>
      </x:c>
      <x:c r="AH4" s="111" t="str">
        <x:v>Notes</x:v>
      </x:c>
      <x:c r="AI4" s="121" t="str">
        <x:v>Weekly Trend</x:v>
      </x:c>
      <x:c r="AJ4" s="121" t="str">
        <x:v>Daily Price Location</x:v>
      </x:c>
      <x:c r="AK4" s="121" t="str">
        <x:v>SMA State</x:v>
      </x:c>
      <x:c r="AL4" s="121" t="str">
        <x:v>9 SMA vs 20 SMA</x:v>
      </x:c>
      <x:c r="AM4" s="121" t="str">
        <x:v>Daily RSI(14)</x:v>
      </x:c>
      <x:c r="AN4" s="121" t="str">
        <x:v>4H RSI(14)</x:v>
      </x:c>
      <x:c r="AO4" s="121" t="str">
        <x:v>RSI Extreme</x:v>
      </x:c>
      <x:c r="AP4" s="121" t="str">
        <x:v>MACD State</x:v>
      </x:c>
      <x:c r="AQ4" s="121" t="str">
        <x:v>Short Interest Trend</x:v>
      </x:c>
      <x:c r="AR4" s="121" t="str">
        <x:v>Analyst Influence</x:v>
      </x:c>
      <x:c r="AS4" s="121" t="str">
        <x:v>MTF Observation</x:v>
      </x:c>
    </x:row>
    <x:row r="5" ht="32" customHeight="1">
      <x:c r="A5" s="258" t="str">
        <x:v>EF-001</x:v>
      </x:c>
      <x:c r="B5" s="259"/>
      <x:c r="C5" s="259"/>
      <x:c r="D5" s="259"/>
      <x:c r="E5" s="259"/>
      <x:c r="F5" s="259"/>
      <x:c r="G5" s="259"/>
      <x:c r="H5" s="259"/>
      <x:c r="I5" s="259"/>
      <x:c r="J5" s="259"/>
      <x:c r="K5" s="259"/>
      <x:c r="L5" s="259"/>
      <x:c r="M5" s="259"/>
      <x:c r="N5" s="260"/>
      <x:c r="O5" s="261"/>
      <x:c r="P5" s="262"/>
      <x:c r="Q5" s="262"/>
      <x:c r="R5" s="259"/>
      <x:c r="S5" s="259"/>
      <x:c r="T5" s="262"/>
      <x:c r="U5" s="259"/>
      <x:c r="V5" s="259"/>
      <x:c r="W5" s="259"/>
      <x:c r="X5" s="259"/>
      <x:c r="Y5" s="263"/>
      <x:c r="Z5" s="264"/>
      <x:c r="AA5" s="264"/>
      <x:c r="AB5" s="265" t="str">
        <x:f>IF(OR($AA5="",$T5=""),"",$AA5/$T5)</x:f>
      </x:c>
      <x:c r="AC5" s="266" t="str">
        <x:f>IF(OR($Y5="",$N5=""),"",$Y5-$N5)</x:f>
      </x:c>
      <x:c r="AD5" s="267"/>
      <x:c r="AE5" s="267"/>
      <x:c r="AF5" s="267"/>
      <x:c r="AG5" s="267"/>
      <x:c r="AH5" s="267"/>
      <x:c r="AI5" s="268"/>
      <x:c r="AJ5" s="268"/>
      <x:c r="AK5" s="268"/>
      <x:c r="AL5" s="268"/>
      <x:c r="AM5" s="269"/>
      <x:c r="AN5" s="269"/>
      <x:c r="AO5" s="268"/>
      <x:c r="AP5" s="268"/>
      <x:c r="AQ5" s="268"/>
      <x:c r="AR5" s="268"/>
      <x:c r="AS5" s="268"/>
    </x:row>
    <x:row r="6" ht="32" customHeight="1">
      <x:c r="A6" s="258" t="str">
        <x:v>EF-002</x:v>
      </x:c>
      <x:c r="B6" s="259"/>
      <x:c r="C6" s="259"/>
      <x:c r="D6" s="259"/>
      <x:c r="E6" s="259"/>
      <x:c r="F6" s="259"/>
      <x:c r="G6" s="259"/>
      <x:c r="H6" s="259"/>
      <x:c r="I6" s="259"/>
      <x:c r="J6" s="259"/>
      <x:c r="K6" s="259"/>
      <x:c r="L6" s="259"/>
      <x:c r="M6" s="259"/>
      <x:c r="N6" s="260"/>
      <x:c r="O6" s="261"/>
      <x:c r="P6" s="262"/>
      <x:c r="Q6" s="262"/>
      <x:c r="R6" s="259"/>
      <x:c r="S6" s="259"/>
      <x:c r="T6" s="262"/>
      <x:c r="U6" s="259"/>
      <x:c r="V6" s="259"/>
      <x:c r="W6" s="259"/>
      <x:c r="X6" s="259"/>
      <x:c r="Y6" s="263"/>
      <x:c r="Z6" s="264"/>
      <x:c r="AA6" s="264"/>
      <x:c r="AB6" s="265" t="str">
        <x:f>IF(OR($AA6="",$T6=""),"",$AA6/$T6)</x:f>
      </x:c>
      <x:c r="AC6" s="266" t="str">
        <x:f>IF(OR($Y6="",$N6=""),"",$Y6-$N6)</x:f>
      </x:c>
      <x:c r="AD6" s="267"/>
      <x:c r="AE6" s="267"/>
      <x:c r="AF6" s="267"/>
      <x:c r="AG6" s="267"/>
      <x:c r="AH6" s="267"/>
      <x:c r="AI6" s="268"/>
      <x:c r="AJ6" s="268"/>
      <x:c r="AK6" s="268"/>
      <x:c r="AL6" s="268"/>
      <x:c r="AM6" s="269"/>
      <x:c r="AN6" s="269"/>
      <x:c r="AO6" s="268"/>
      <x:c r="AP6" s="268"/>
      <x:c r="AQ6" s="268"/>
      <x:c r="AR6" s="268"/>
      <x:c r="AS6" s="268"/>
    </x:row>
    <x:row r="7" ht="32" customHeight="1">
      <x:c r="A7" s="258" t="str">
        <x:v>EF-003</x:v>
      </x:c>
      <x:c r="B7" s="259"/>
      <x:c r="C7" s="259"/>
      <x:c r="D7" s="259"/>
      <x:c r="E7" s="259"/>
      <x:c r="F7" s="259"/>
      <x:c r="G7" s="259"/>
      <x:c r="H7" s="259"/>
      <x:c r="I7" s="259"/>
      <x:c r="J7" s="259"/>
      <x:c r="K7" s="259"/>
      <x:c r="L7" s="259"/>
      <x:c r="M7" s="259"/>
      <x:c r="N7" s="260"/>
      <x:c r="O7" s="261"/>
      <x:c r="P7" s="262"/>
      <x:c r="Q7" s="262"/>
      <x:c r="R7" s="259"/>
      <x:c r="S7" s="259"/>
      <x:c r="T7" s="262"/>
      <x:c r="U7" s="259"/>
      <x:c r="V7" s="259"/>
      <x:c r="W7" s="259"/>
      <x:c r="X7" s="259"/>
      <x:c r="Y7" s="263"/>
      <x:c r="Z7" s="264"/>
      <x:c r="AA7" s="264"/>
      <x:c r="AB7" s="265" t="str">
        <x:f>IF(OR($AA7="",$T7=""),"",$AA7/$T7)</x:f>
      </x:c>
      <x:c r="AC7" s="266" t="str">
        <x:f>IF(OR($Y7="",$N7=""),"",$Y7-$N7)</x:f>
      </x:c>
      <x:c r="AD7" s="267"/>
      <x:c r="AE7" s="267"/>
      <x:c r="AF7" s="267"/>
      <x:c r="AG7" s="267"/>
      <x:c r="AH7" s="267"/>
      <x:c r="AI7" s="268"/>
      <x:c r="AJ7" s="268"/>
      <x:c r="AK7" s="268"/>
      <x:c r="AL7" s="268"/>
      <x:c r="AM7" s="269"/>
      <x:c r="AN7" s="269"/>
      <x:c r="AO7" s="268"/>
      <x:c r="AP7" s="268"/>
      <x:c r="AQ7" s="268"/>
      <x:c r="AR7" s="268"/>
      <x:c r="AS7" s="268"/>
    </x:row>
    <x:row r="8" ht="32" customHeight="1">
      <x:c r="A8" s="258" t="str">
        <x:v>EF-004</x:v>
      </x:c>
      <x:c r="B8" s="259"/>
      <x:c r="C8" s="259"/>
      <x:c r="D8" s="259"/>
      <x:c r="E8" s="259"/>
      <x:c r="F8" s="259"/>
      <x:c r="G8" s="259"/>
      <x:c r="H8" s="259"/>
      <x:c r="I8" s="259"/>
      <x:c r="J8" s="259"/>
      <x:c r="K8" s="259"/>
      <x:c r="L8" s="259"/>
      <x:c r="M8" s="259"/>
      <x:c r="N8" s="260"/>
      <x:c r="O8" s="261"/>
      <x:c r="P8" s="262"/>
      <x:c r="Q8" s="262"/>
      <x:c r="R8" s="259"/>
      <x:c r="S8" s="259"/>
      <x:c r="T8" s="262"/>
      <x:c r="U8" s="259"/>
      <x:c r="V8" s="259"/>
      <x:c r="W8" s="259"/>
      <x:c r="X8" s="259"/>
      <x:c r="Y8" s="263"/>
      <x:c r="Z8" s="264"/>
      <x:c r="AA8" s="264"/>
      <x:c r="AB8" s="265" t="str">
        <x:f>IF(OR($AA8="",$T8=""),"",$AA8/$T8)</x:f>
      </x:c>
      <x:c r="AC8" s="266" t="str">
        <x:f>IF(OR($Y8="",$N8=""),"",$Y8-$N8)</x:f>
      </x:c>
      <x:c r="AD8" s="267"/>
      <x:c r="AE8" s="267"/>
      <x:c r="AF8" s="267"/>
      <x:c r="AG8" s="267"/>
      <x:c r="AH8" s="267"/>
      <x:c r="AI8" s="268"/>
      <x:c r="AJ8" s="268"/>
      <x:c r="AK8" s="268"/>
      <x:c r="AL8" s="268"/>
      <x:c r="AM8" s="269"/>
      <x:c r="AN8" s="269"/>
      <x:c r="AO8" s="268"/>
      <x:c r="AP8" s="268"/>
      <x:c r="AQ8" s="268"/>
      <x:c r="AR8" s="268"/>
      <x:c r="AS8" s="268"/>
    </x:row>
    <x:row r="9" ht="32" customHeight="1">
      <x:c r="A9" s="258" t="str">
        <x:v>EF-005</x:v>
      </x:c>
      <x:c r="B9" s="259"/>
      <x:c r="C9" s="259"/>
      <x:c r="D9" s="259"/>
      <x:c r="E9" s="259"/>
      <x:c r="F9" s="259"/>
      <x:c r="G9" s="259"/>
      <x:c r="H9" s="259"/>
      <x:c r="I9" s="259"/>
      <x:c r="J9" s="259"/>
      <x:c r="K9" s="259"/>
      <x:c r="L9" s="259"/>
      <x:c r="M9" s="259"/>
      <x:c r="N9" s="260"/>
      <x:c r="O9" s="261"/>
      <x:c r="P9" s="262"/>
      <x:c r="Q9" s="262"/>
      <x:c r="R9" s="259"/>
      <x:c r="S9" s="259"/>
      <x:c r="T9" s="262"/>
      <x:c r="U9" s="259"/>
      <x:c r="V9" s="259"/>
      <x:c r="W9" s="259"/>
      <x:c r="X9" s="259"/>
      <x:c r="Y9" s="263"/>
      <x:c r="Z9" s="264"/>
      <x:c r="AA9" s="264"/>
      <x:c r="AB9" s="265" t="str">
        <x:f>IF(OR($AA9="",$T9=""),"",$AA9/$T9)</x:f>
      </x:c>
      <x:c r="AC9" s="266" t="str">
        <x:f>IF(OR($Y9="",$N9=""),"",$Y9-$N9)</x:f>
      </x:c>
      <x:c r="AD9" s="267"/>
      <x:c r="AE9" s="267"/>
      <x:c r="AF9" s="267"/>
      <x:c r="AG9" s="267"/>
      <x:c r="AH9" s="267"/>
      <x:c r="AI9" s="268"/>
      <x:c r="AJ9" s="268"/>
      <x:c r="AK9" s="268"/>
      <x:c r="AL9" s="268"/>
      <x:c r="AM9" s="269"/>
      <x:c r="AN9" s="269"/>
      <x:c r="AO9" s="268"/>
      <x:c r="AP9" s="268"/>
      <x:c r="AQ9" s="268"/>
      <x:c r="AR9" s="268"/>
      <x:c r="AS9" s="268"/>
    </x:row>
    <x:row r="10" ht="32" customHeight="1">
      <x:c r="A10" s="258" t="str">
        <x:v>EF-006</x:v>
      </x:c>
      <x:c r="B10" s="259"/>
      <x:c r="C10" s="259"/>
      <x:c r="D10" s="259"/>
      <x:c r="E10" s="259"/>
      <x:c r="F10" s="259"/>
      <x:c r="G10" s="259"/>
      <x:c r="H10" s="259"/>
      <x:c r="I10" s="259"/>
      <x:c r="J10" s="259"/>
      <x:c r="K10" s="259"/>
      <x:c r="L10" s="259"/>
      <x:c r="M10" s="259"/>
      <x:c r="N10" s="260"/>
      <x:c r="O10" s="261"/>
      <x:c r="P10" s="262"/>
      <x:c r="Q10" s="262"/>
      <x:c r="R10" s="259"/>
      <x:c r="S10" s="259"/>
      <x:c r="T10" s="262"/>
      <x:c r="U10" s="259"/>
      <x:c r="V10" s="259"/>
      <x:c r="W10" s="259"/>
      <x:c r="X10" s="259"/>
      <x:c r="Y10" s="263"/>
      <x:c r="Z10" s="264"/>
      <x:c r="AA10" s="264"/>
      <x:c r="AB10" s="265" t="str">
        <x:f>IF(OR($AA10="",$T10=""),"",$AA10/$T10)</x:f>
      </x:c>
      <x:c r="AC10" s="266" t="str">
        <x:f>IF(OR($Y10="",$N10=""),"",$Y10-$N10)</x:f>
      </x:c>
      <x:c r="AD10" s="267"/>
      <x:c r="AE10" s="267"/>
      <x:c r="AF10" s="267"/>
      <x:c r="AG10" s="267"/>
      <x:c r="AH10" s="267"/>
      <x:c r="AI10" s="268"/>
      <x:c r="AJ10" s="268"/>
      <x:c r="AK10" s="268"/>
      <x:c r="AL10" s="268"/>
      <x:c r="AM10" s="269"/>
      <x:c r="AN10" s="269"/>
      <x:c r="AO10" s="268"/>
      <x:c r="AP10" s="268"/>
      <x:c r="AQ10" s="268"/>
      <x:c r="AR10" s="268"/>
      <x:c r="AS10" s="268"/>
    </x:row>
    <x:row r="11" ht="32" customHeight="1">
      <x:c r="A11" s="258" t="str">
        <x:v>EF-007</x:v>
      </x:c>
      <x:c r="B11" s="259"/>
      <x:c r="C11" s="259"/>
      <x:c r="D11" s="259"/>
      <x:c r="E11" s="259"/>
      <x:c r="F11" s="259"/>
      <x:c r="G11" s="259"/>
      <x:c r="H11" s="259"/>
      <x:c r="I11" s="259"/>
      <x:c r="J11" s="259"/>
      <x:c r="K11" s="259"/>
      <x:c r="L11" s="259"/>
      <x:c r="M11" s="259"/>
      <x:c r="N11" s="260"/>
      <x:c r="O11" s="261"/>
      <x:c r="P11" s="262"/>
      <x:c r="Q11" s="262"/>
      <x:c r="R11" s="259"/>
      <x:c r="S11" s="259"/>
      <x:c r="T11" s="262"/>
      <x:c r="U11" s="259"/>
      <x:c r="V11" s="259"/>
      <x:c r="W11" s="259"/>
      <x:c r="X11" s="259"/>
      <x:c r="Y11" s="263"/>
      <x:c r="Z11" s="264"/>
      <x:c r="AA11" s="264"/>
      <x:c r="AB11" s="265" t="str">
        <x:f>IF(OR($AA11="",$T11=""),"",$AA11/$T11)</x:f>
      </x:c>
      <x:c r="AC11" s="266" t="str">
        <x:f>IF(OR($Y11="",$N11=""),"",$Y11-$N11)</x:f>
      </x:c>
      <x:c r="AD11" s="267"/>
      <x:c r="AE11" s="267"/>
      <x:c r="AF11" s="267"/>
      <x:c r="AG11" s="267"/>
      <x:c r="AH11" s="267"/>
      <x:c r="AI11" s="268"/>
      <x:c r="AJ11" s="268"/>
      <x:c r="AK11" s="268"/>
      <x:c r="AL11" s="268"/>
      <x:c r="AM11" s="269"/>
      <x:c r="AN11" s="269"/>
      <x:c r="AO11" s="268"/>
      <x:c r="AP11" s="268"/>
      <x:c r="AQ11" s="268"/>
      <x:c r="AR11" s="268"/>
      <x:c r="AS11" s="268"/>
    </x:row>
    <x:row r="12" ht="32" customHeight="1">
      <x:c r="A12" s="258" t="str">
        <x:v>EF-008</x:v>
      </x:c>
      <x:c r="B12" s="259"/>
      <x:c r="C12" s="259"/>
      <x:c r="D12" s="259"/>
      <x:c r="E12" s="259"/>
      <x:c r="F12" s="259"/>
      <x:c r="G12" s="259"/>
      <x:c r="H12" s="259"/>
      <x:c r="I12" s="259"/>
      <x:c r="J12" s="259"/>
      <x:c r="K12" s="259"/>
      <x:c r="L12" s="259"/>
      <x:c r="M12" s="259"/>
      <x:c r="N12" s="260"/>
      <x:c r="O12" s="261"/>
      <x:c r="P12" s="262"/>
      <x:c r="Q12" s="262"/>
      <x:c r="R12" s="259"/>
      <x:c r="S12" s="259"/>
      <x:c r="T12" s="262"/>
      <x:c r="U12" s="259"/>
      <x:c r="V12" s="259"/>
      <x:c r="W12" s="259"/>
      <x:c r="X12" s="259"/>
      <x:c r="Y12" s="263"/>
      <x:c r="Z12" s="264"/>
      <x:c r="AA12" s="264"/>
      <x:c r="AB12" s="265" t="str">
        <x:f>IF(OR($AA12="",$T12=""),"",$AA12/$T12)</x:f>
      </x:c>
      <x:c r="AC12" s="266" t="str">
        <x:f>IF(OR($Y12="",$N12=""),"",$Y12-$N12)</x:f>
      </x:c>
      <x:c r="AD12" s="267"/>
      <x:c r="AE12" s="267"/>
      <x:c r="AF12" s="267"/>
      <x:c r="AG12" s="267"/>
      <x:c r="AH12" s="267"/>
      <x:c r="AI12" s="268"/>
      <x:c r="AJ12" s="268"/>
      <x:c r="AK12" s="268"/>
      <x:c r="AL12" s="268"/>
      <x:c r="AM12" s="269"/>
      <x:c r="AN12" s="269"/>
      <x:c r="AO12" s="268"/>
      <x:c r="AP12" s="268"/>
      <x:c r="AQ12" s="268"/>
      <x:c r="AR12" s="268"/>
      <x:c r="AS12" s="268"/>
    </x:row>
    <x:row r="13" ht="32" customHeight="1">
      <x:c r="A13" s="258" t="str">
        <x:v>EF-009</x:v>
      </x:c>
      <x:c r="B13" s="259"/>
      <x:c r="C13" s="259"/>
      <x:c r="D13" s="259"/>
      <x:c r="E13" s="259"/>
      <x:c r="F13" s="259"/>
      <x:c r="G13" s="259"/>
      <x:c r="H13" s="259"/>
      <x:c r="I13" s="259"/>
      <x:c r="J13" s="259"/>
      <x:c r="K13" s="259"/>
      <x:c r="L13" s="259"/>
      <x:c r="M13" s="259"/>
      <x:c r="N13" s="260"/>
      <x:c r="O13" s="261"/>
      <x:c r="P13" s="262"/>
      <x:c r="Q13" s="262"/>
      <x:c r="R13" s="259"/>
      <x:c r="S13" s="259"/>
      <x:c r="T13" s="262"/>
      <x:c r="U13" s="259"/>
      <x:c r="V13" s="259"/>
      <x:c r="W13" s="259"/>
      <x:c r="X13" s="259"/>
      <x:c r="Y13" s="263"/>
      <x:c r="Z13" s="264"/>
      <x:c r="AA13" s="264"/>
      <x:c r="AB13" s="265" t="str">
        <x:f>IF(OR($AA13="",$T13=""),"",$AA13/$T13)</x:f>
      </x:c>
      <x:c r="AC13" s="266" t="str">
        <x:f>IF(OR($Y13="",$N13=""),"",$Y13-$N13)</x:f>
      </x:c>
      <x:c r="AD13" s="267"/>
      <x:c r="AE13" s="267"/>
      <x:c r="AF13" s="267"/>
      <x:c r="AG13" s="267"/>
      <x:c r="AH13" s="267"/>
      <x:c r="AI13" s="268"/>
      <x:c r="AJ13" s="268"/>
      <x:c r="AK13" s="268"/>
      <x:c r="AL13" s="268"/>
      <x:c r="AM13" s="269"/>
      <x:c r="AN13" s="269"/>
      <x:c r="AO13" s="268"/>
      <x:c r="AP13" s="268"/>
      <x:c r="AQ13" s="268"/>
      <x:c r="AR13" s="268"/>
      <x:c r="AS13" s="268"/>
    </x:row>
    <x:row r="14" ht="32" customHeight="1">
      <x:c r="A14" s="258" t="str">
        <x:v>EF-010</x:v>
      </x:c>
      <x:c r="B14" s="259"/>
      <x:c r="C14" s="259"/>
      <x:c r="D14" s="259"/>
      <x:c r="E14" s="259"/>
      <x:c r="F14" s="259"/>
      <x:c r="G14" s="259"/>
      <x:c r="H14" s="259"/>
      <x:c r="I14" s="259"/>
      <x:c r="J14" s="259"/>
      <x:c r="K14" s="259"/>
      <x:c r="L14" s="259"/>
      <x:c r="M14" s="259"/>
      <x:c r="N14" s="260"/>
      <x:c r="O14" s="261"/>
      <x:c r="P14" s="262"/>
      <x:c r="Q14" s="262"/>
      <x:c r="R14" s="259"/>
      <x:c r="S14" s="259"/>
      <x:c r="T14" s="262"/>
      <x:c r="U14" s="259"/>
      <x:c r="V14" s="259"/>
      <x:c r="W14" s="259"/>
      <x:c r="X14" s="259"/>
      <x:c r="Y14" s="263"/>
      <x:c r="Z14" s="264"/>
      <x:c r="AA14" s="264"/>
      <x:c r="AB14" s="265" t="str">
        <x:f>IF(OR($AA14="",$T14=""),"",$AA14/$T14)</x:f>
      </x:c>
      <x:c r="AC14" s="266" t="str">
        <x:f>IF(OR($Y14="",$N14=""),"",$Y14-$N14)</x:f>
      </x:c>
      <x:c r="AD14" s="267"/>
      <x:c r="AE14" s="267"/>
      <x:c r="AF14" s="267"/>
      <x:c r="AG14" s="267"/>
      <x:c r="AH14" s="267"/>
      <x:c r="AI14" s="268"/>
      <x:c r="AJ14" s="268"/>
      <x:c r="AK14" s="268"/>
      <x:c r="AL14" s="268"/>
      <x:c r="AM14" s="269"/>
      <x:c r="AN14" s="269"/>
      <x:c r="AO14" s="268"/>
      <x:c r="AP14" s="268"/>
      <x:c r="AQ14" s="268"/>
      <x:c r="AR14" s="268"/>
      <x:c r="AS14" s="268"/>
    </x:row>
    <x:row r="15" ht="32" customHeight="1">
      <x:c r="A15" s="258" t="str">
        <x:v>EF-011</x:v>
      </x:c>
      <x:c r="B15" s="259"/>
      <x:c r="C15" s="259"/>
      <x:c r="D15" s="259"/>
      <x:c r="E15" s="259"/>
      <x:c r="F15" s="259"/>
      <x:c r="G15" s="259"/>
      <x:c r="H15" s="259"/>
      <x:c r="I15" s="259"/>
      <x:c r="J15" s="259"/>
      <x:c r="K15" s="259"/>
      <x:c r="L15" s="259"/>
      <x:c r="M15" s="259"/>
      <x:c r="N15" s="260"/>
      <x:c r="O15" s="261"/>
      <x:c r="P15" s="262"/>
      <x:c r="Q15" s="262"/>
      <x:c r="R15" s="259"/>
      <x:c r="S15" s="259"/>
      <x:c r="T15" s="262"/>
      <x:c r="U15" s="259"/>
      <x:c r="V15" s="259"/>
      <x:c r="W15" s="259"/>
      <x:c r="X15" s="259"/>
      <x:c r="Y15" s="263"/>
      <x:c r="Z15" s="264"/>
      <x:c r="AA15" s="264"/>
      <x:c r="AB15" s="265" t="str">
        <x:f>IF(OR($AA15="",$T15=""),"",$AA15/$T15)</x:f>
      </x:c>
      <x:c r="AC15" s="266" t="str">
        <x:f>IF(OR($Y15="",$N15=""),"",$Y15-$N15)</x:f>
      </x:c>
      <x:c r="AD15" s="267"/>
      <x:c r="AE15" s="267"/>
      <x:c r="AF15" s="267"/>
      <x:c r="AG15" s="267"/>
      <x:c r="AH15" s="267"/>
      <x:c r="AI15" s="268"/>
      <x:c r="AJ15" s="268"/>
      <x:c r="AK15" s="268"/>
      <x:c r="AL15" s="268"/>
      <x:c r="AM15" s="269"/>
      <x:c r="AN15" s="269"/>
      <x:c r="AO15" s="268"/>
      <x:c r="AP15" s="268"/>
      <x:c r="AQ15" s="268"/>
      <x:c r="AR15" s="268"/>
      <x:c r="AS15" s="268"/>
    </x:row>
    <x:row r="16" ht="32" customHeight="1">
      <x:c r="A16" s="258" t="str">
        <x:v>EF-012</x:v>
      </x:c>
      <x:c r="B16" s="259"/>
      <x:c r="C16" s="259"/>
      <x:c r="D16" s="259"/>
      <x:c r="E16" s="259"/>
      <x:c r="F16" s="259"/>
      <x:c r="G16" s="259"/>
      <x:c r="H16" s="259"/>
      <x:c r="I16" s="259"/>
      <x:c r="J16" s="259"/>
      <x:c r="K16" s="259"/>
      <x:c r="L16" s="259"/>
      <x:c r="M16" s="259"/>
      <x:c r="N16" s="260"/>
      <x:c r="O16" s="261"/>
      <x:c r="P16" s="262"/>
      <x:c r="Q16" s="262"/>
      <x:c r="R16" s="259"/>
      <x:c r="S16" s="259"/>
      <x:c r="T16" s="262"/>
      <x:c r="U16" s="259"/>
      <x:c r="V16" s="259"/>
      <x:c r="W16" s="259"/>
      <x:c r="X16" s="259"/>
      <x:c r="Y16" s="263"/>
      <x:c r="Z16" s="264"/>
      <x:c r="AA16" s="264"/>
      <x:c r="AB16" s="265" t="str">
        <x:f>IF(OR($AA16="",$T16=""),"",$AA16/$T16)</x:f>
      </x:c>
      <x:c r="AC16" s="266" t="str">
        <x:f>IF(OR($Y16="",$N16=""),"",$Y16-$N16)</x:f>
      </x:c>
      <x:c r="AD16" s="267"/>
      <x:c r="AE16" s="267"/>
      <x:c r="AF16" s="267"/>
      <x:c r="AG16" s="267"/>
      <x:c r="AH16" s="267"/>
      <x:c r="AI16" s="268"/>
      <x:c r="AJ16" s="268"/>
      <x:c r="AK16" s="268"/>
      <x:c r="AL16" s="268"/>
      <x:c r="AM16" s="269"/>
      <x:c r="AN16" s="269"/>
      <x:c r="AO16" s="268"/>
      <x:c r="AP16" s="268"/>
      <x:c r="AQ16" s="268"/>
      <x:c r="AR16" s="268"/>
      <x:c r="AS16" s="268"/>
    </x:row>
    <x:row r="17" ht="32" customHeight="1">
      <x:c r="A17" s="258" t="str">
        <x:v>EF-013</x:v>
      </x:c>
      <x:c r="B17" s="259"/>
      <x:c r="C17" s="259"/>
      <x:c r="D17" s="259"/>
      <x:c r="E17" s="259"/>
      <x:c r="F17" s="259"/>
      <x:c r="G17" s="259"/>
      <x:c r="H17" s="259"/>
      <x:c r="I17" s="259"/>
      <x:c r="J17" s="259"/>
      <x:c r="K17" s="259"/>
      <x:c r="L17" s="259"/>
      <x:c r="M17" s="259"/>
      <x:c r="N17" s="260"/>
      <x:c r="O17" s="261"/>
      <x:c r="P17" s="262"/>
      <x:c r="Q17" s="262"/>
      <x:c r="R17" s="259"/>
      <x:c r="S17" s="259"/>
      <x:c r="T17" s="262"/>
      <x:c r="U17" s="259"/>
      <x:c r="V17" s="259"/>
      <x:c r="W17" s="259"/>
      <x:c r="X17" s="259"/>
      <x:c r="Y17" s="263"/>
      <x:c r="Z17" s="264"/>
      <x:c r="AA17" s="264"/>
      <x:c r="AB17" s="265" t="str">
        <x:f>IF(OR($AA17="",$T17=""),"",$AA17/$T17)</x:f>
      </x:c>
      <x:c r="AC17" s="266" t="str">
        <x:f>IF(OR($Y17="",$N17=""),"",$Y17-$N17)</x:f>
      </x:c>
      <x:c r="AD17" s="267"/>
      <x:c r="AE17" s="267"/>
      <x:c r="AF17" s="267"/>
      <x:c r="AG17" s="267"/>
      <x:c r="AH17" s="267"/>
      <x:c r="AI17" s="268"/>
      <x:c r="AJ17" s="268"/>
      <x:c r="AK17" s="268"/>
      <x:c r="AL17" s="268"/>
      <x:c r="AM17" s="269"/>
      <x:c r="AN17" s="269"/>
      <x:c r="AO17" s="268"/>
      <x:c r="AP17" s="268"/>
      <x:c r="AQ17" s="268"/>
      <x:c r="AR17" s="268"/>
      <x:c r="AS17" s="268"/>
    </x:row>
    <x:row r="18" ht="32" customHeight="1">
      <x:c r="A18" s="258" t="str">
        <x:v>EF-014</x:v>
      </x:c>
      <x:c r="B18" s="259"/>
      <x:c r="C18" s="259"/>
      <x:c r="D18" s="259"/>
      <x:c r="E18" s="259"/>
      <x:c r="F18" s="259"/>
      <x:c r="G18" s="259"/>
      <x:c r="H18" s="259"/>
      <x:c r="I18" s="259"/>
      <x:c r="J18" s="259"/>
      <x:c r="K18" s="259"/>
      <x:c r="L18" s="259"/>
      <x:c r="M18" s="259"/>
      <x:c r="N18" s="260"/>
      <x:c r="O18" s="261"/>
      <x:c r="P18" s="262"/>
      <x:c r="Q18" s="262"/>
      <x:c r="R18" s="259"/>
      <x:c r="S18" s="259"/>
      <x:c r="T18" s="262"/>
      <x:c r="U18" s="259"/>
      <x:c r="V18" s="259"/>
      <x:c r="W18" s="259"/>
      <x:c r="X18" s="259"/>
      <x:c r="Y18" s="263"/>
      <x:c r="Z18" s="264"/>
      <x:c r="AA18" s="264"/>
      <x:c r="AB18" s="265" t="str">
        <x:f>IF(OR($AA18="",$T18=""),"",$AA18/$T18)</x:f>
      </x:c>
      <x:c r="AC18" s="266" t="str">
        <x:f>IF(OR($Y18="",$N18=""),"",$Y18-$N18)</x:f>
      </x:c>
      <x:c r="AD18" s="267"/>
      <x:c r="AE18" s="267"/>
      <x:c r="AF18" s="267"/>
      <x:c r="AG18" s="267"/>
      <x:c r="AH18" s="267"/>
      <x:c r="AI18" s="268"/>
      <x:c r="AJ18" s="268"/>
      <x:c r="AK18" s="268"/>
      <x:c r="AL18" s="268"/>
      <x:c r="AM18" s="269"/>
      <x:c r="AN18" s="269"/>
      <x:c r="AO18" s="268"/>
      <x:c r="AP18" s="268"/>
      <x:c r="AQ18" s="268"/>
      <x:c r="AR18" s="268"/>
      <x:c r="AS18" s="268"/>
    </x:row>
    <x:row r="19" ht="32" customHeight="1">
      <x:c r="A19" s="258" t="str">
        <x:v>EF-015</x:v>
      </x:c>
      <x:c r="B19" s="259"/>
      <x:c r="C19" s="259"/>
      <x:c r="D19" s="259"/>
      <x:c r="E19" s="259"/>
      <x:c r="F19" s="259"/>
      <x:c r="G19" s="259"/>
      <x:c r="H19" s="259"/>
      <x:c r="I19" s="259"/>
      <x:c r="J19" s="259"/>
      <x:c r="K19" s="259"/>
      <x:c r="L19" s="259"/>
      <x:c r="M19" s="259"/>
      <x:c r="N19" s="260"/>
      <x:c r="O19" s="261"/>
      <x:c r="P19" s="262"/>
      <x:c r="Q19" s="262"/>
      <x:c r="R19" s="259"/>
      <x:c r="S19" s="259"/>
      <x:c r="T19" s="262"/>
      <x:c r="U19" s="259"/>
      <x:c r="V19" s="259"/>
      <x:c r="W19" s="259"/>
      <x:c r="X19" s="259"/>
      <x:c r="Y19" s="263"/>
      <x:c r="Z19" s="264"/>
      <x:c r="AA19" s="264"/>
      <x:c r="AB19" s="265" t="str">
        <x:f>IF(OR($AA19="",$T19=""),"",$AA19/$T19)</x:f>
      </x:c>
      <x:c r="AC19" s="266" t="str">
        <x:f>IF(OR($Y19="",$N19=""),"",$Y19-$N19)</x:f>
      </x:c>
      <x:c r="AD19" s="267"/>
      <x:c r="AE19" s="267"/>
      <x:c r="AF19" s="267"/>
      <x:c r="AG19" s="267"/>
      <x:c r="AH19" s="267"/>
      <x:c r="AI19" s="268"/>
      <x:c r="AJ19" s="268"/>
      <x:c r="AK19" s="268"/>
      <x:c r="AL19" s="268"/>
      <x:c r="AM19" s="269"/>
      <x:c r="AN19" s="269"/>
      <x:c r="AO19" s="268"/>
      <x:c r="AP19" s="268"/>
      <x:c r="AQ19" s="268"/>
      <x:c r="AR19" s="268"/>
      <x:c r="AS19" s="268"/>
    </x:row>
    <x:row r="20" ht="32" customHeight="1">
      <x:c r="A20" s="258" t="str">
        <x:v>EF-016</x:v>
      </x:c>
      <x:c r="B20" s="259"/>
      <x:c r="C20" s="259"/>
      <x:c r="D20" s="259"/>
      <x:c r="E20" s="259"/>
      <x:c r="F20" s="259"/>
      <x:c r="G20" s="259"/>
      <x:c r="H20" s="259"/>
      <x:c r="I20" s="259"/>
      <x:c r="J20" s="259"/>
      <x:c r="K20" s="259"/>
      <x:c r="L20" s="259"/>
      <x:c r="M20" s="259"/>
      <x:c r="N20" s="260"/>
      <x:c r="O20" s="261"/>
      <x:c r="P20" s="262"/>
      <x:c r="Q20" s="262"/>
      <x:c r="R20" s="259"/>
      <x:c r="S20" s="259"/>
      <x:c r="T20" s="262"/>
      <x:c r="U20" s="259"/>
      <x:c r="V20" s="259"/>
      <x:c r="W20" s="259"/>
      <x:c r="X20" s="259"/>
      <x:c r="Y20" s="263"/>
      <x:c r="Z20" s="264"/>
      <x:c r="AA20" s="264"/>
      <x:c r="AB20" s="265" t="str">
        <x:f>IF(OR($AA20="",$T20=""),"",$AA20/$T20)</x:f>
      </x:c>
      <x:c r="AC20" s="266" t="str">
        <x:f>IF(OR($Y20="",$N20=""),"",$Y20-$N20)</x:f>
      </x:c>
      <x:c r="AD20" s="267"/>
      <x:c r="AE20" s="267"/>
      <x:c r="AF20" s="267"/>
      <x:c r="AG20" s="267"/>
      <x:c r="AH20" s="267"/>
      <x:c r="AI20" s="268"/>
      <x:c r="AJ20" s="268"/>
      <x:c r="AK20" s="268"/>
      <x:c r="AL20" s="268"/>
      <x:c r="AM20" s="269"/>
      <x:c r="AN20" s="269"/>
      <x:c r="AO20" s="268"/>
      <x:c r="AP20" s="268"/>
      <x:c r="AQ20" s="268"/>
      <x:c r="AR20" s="268"/>
      <x:c r="AS20" s="268"/>
    </x:row>
    <x:row r="21" ht="32" customHeight="1">
      <x:c r="A21" s="258" t="str">
        <x:v>EF-017</x:v>
      </x:c>
      <x:c r="B21" s="259"/>
      <x:c r="C21" s="259"/>
      <x:c r="D21" s="259"/>
      <x:c r="E21" s="259"/>
      <x:c r="F21" s="259"/>
      <x:c r="G21" s="259"/>
      <x:c r="H21" s="259"/>
      <x:c r="I21" s="259"/>
      <x:c r="J21" s="259"/>
      <x:c r="K21" s="259"/>
      <x:c r="L21" s="259"/>
      <x:c r="M21" s="259"/>
      <x:c r="N21" s="260"/>
      <x:c r="O21" s="261"/>
      <x:c r="P21" s="262"/>
      <x:c r="Q21" s="262"/>
      <x:c r="R21" s="259"/>
      <x:c r="S21" s="259"/>
      <x:c r="T21" s="262"/>
      <x:c r="U21" s="259"/>
      <x:c r="V21" s="259"/>
      <x:c r="W21" s="259"/>
      <x:c r="X21" s="259"/>
      <x:c r="Y21" s="263"/>
      <x:c r="Z21" s="264"/>
      <x:c r="AA21" s="264"/>
      <x:c r="AB21" s="265" t="str">
        <x:f>IF(OR($AA21="",$T21=""),"",$AA21/$T21)</x:f>
      </x:c>
      <x:c r="AC21" s="266" t="str">
        <x:f>IF(OR($Y21="",$N21=""),"",$Y21-$N21)</x:f>
      </x:c>
      <x:c r="AD21" s="267"/>
      <x:c r="AE21" s="267"/>
      <x:c r="AF21" s="267"/>
      <x:c r="AG21" s="267"/>
      <x:c r="AH21" s="267"/>
      <x:c r="AI21" s="268"/>
      <x:c r="AJ21" s="268"/>
      <x:c r="AK21" s="268"/>
      <x:c r="AL21" s="268"/>
      <x:c r="AM21" s="269"/>
      <x:c r="AN21" s="269"/>
      <x:c r="AO21" s="268"/>
      <x:c r="AP21" s="268"/>
      <x:c r="AQ21" s="268"/>
      <x:c r="AR21" s="268"/>
      <x:c r="AS21" s="268"/>
    </x:row>
    <x:row r="22" ht="32" customHeight="1">
      <x:c r="A22" s="258" t="str">
        <x:v>EF-018</x:v>
      </x:c>
      <x:c r="B22" s="259"/>
      <x:c r="C22" s="259"/>
      <x:c r="D22" s="259"/>
      <x:c r="E22" s="259"/>
      <x:c r="F22" s="259"/>
      <x:c r="G22" s="259"/>
      <x:c r="H22" s="259"/>
      <x:c r="I22" s="259"/>
      <x:c r="J22" s="259"/>
      <x:c r="K22" s="259"/>
      <x:c r="L22" s="259"/>
      <x:c r="M22" s="259"/>
      <x:c r="N22" s="260"/>
      <x:c r="O22" s="261"/>
      <x:c r="P22" s="262"/>
      <x:c r="Q22" s="262"/>
      <x:c r="R22" s="259"/>
      <x:c r="S22" s="259"/>
      <x:c r="T22" s="262"/>
      <x:c r="U22" s="259"/>
      <x:c r="V22" s="259"/>
      <x:c r="W22" s="259"/>
      <x:c r="X22" s="259"/>
      <x:c r="Y22" s="263"/>
      <x:c r="Z22" s="264"/>
      <x:c r="AA22" s="264"/>
      <x:c r="AB22" s="265" t="str">
        <x:f>IF(OR($AA22="",$T22=""),"",$AA22/$T22)</x:f>
      </x:c>
      <x:c r="AC22" s="266" t="str">
        <x:f>IF(OR($Y22="",$N22=""),"",$Y22-$N22)</x:f>
      </x:c>
      <x:c r="AD22" s="267"/>
      <x:c r="AE22" s="267"/>
      <x:c r="AF22" s="267"/>
      <x:c r="AG22" s="267"/>
      <x:c r="AH22" s="267"/>
      <x:c r="AI22" s="268"/>
      <x:c r="AJ22" s="268"/>
      <x:c r="AK22" s="268"/>
      <x:c r="AL22" s="268"/>
      <x:c r="AM22" s="269"/>
      <x:c r="AN22" s="269"/>
      <x:c r="AO22" s="268"/>
      <x:c r="AP22" s="268"/>
      <x:c r="AQ22" s="268"/>
      <x:c r="AR22" s="268"/>
      <x:c r="AS22" s="268"/>
    </x:row>
    <x:row r="23" ht="32" customHeight="1">
      <x:c r="A23" s="258" t="str">
        <x:v>EF-019</x:v>
      </x:c>
      <x:c r="B23" s="259"/>
      <x:c r="C23" s="259"/>
      <x:c r="D23" s="259"/>
      <x:c r="E23" s="259"/>
      <x:c r="F23" s="259"/>
      <x:c r="G23" s="259"/>
      <x:c r="H23" s="259"/>
      <x:c r="I23" s="259"/>
      <x:c r="J23" s="259"/>
      <x:c r="K23" s="259"/>
      <x:c r="L23" s="259"/>
      <x:c r="M23" s="259"/>
      <x:c r="N23" s="260"/>
      <x:c r="O23" s="261"/>
      <x:c r="P23" s="262"/>
      <x:c r="Q23" s="262"/>
      <x:c r="R23" s="259"/>
      <x:c r="S23" s="259"/>
      <x:c r="T23" s="262"/>
      <x:c r="U23" s="259"/>
      <x:c r="V23" s="259"/>
      <x:c r="W23" s="259"/>
      <x:c r="X23" s="259"/>
      <x:c r="Y23" s="263"/>
      <x:c r="Z23" s="264"/>
      <x:c r="AA23" s="264"/>
      <x:c r="AB23" s="265" t="str">
        <x:f>IF(OR($AA23="",$T23=""),"",$AA23/$T23)</x:f>
      </x:c>
      <x:c r="AC23" s="266" t="str">
        <x:f>IF(OR($Y23="",$N23=""),"",$Y23-$N23)</x:f>
      </x:c>
      <x:c r="AD23" s="267"/>
      <x:c r="AE23" s="267"/>
      <x:c r="AF23" s="267"/>
      <x:c r="AG23" s="267"/>
      <x:c r="AH23" s="267"/>
      <x:c r="AI23" s="268"/>
      <x:c r="AJ23" s="268"/>
      <x:c r="AK23" s="268"/>
      <x:c r="AL23" s="268"/>
      <x:c r="AM23" s="269"/>
      <x:c r="AN23" s="269"/>
      <x:c r="AO23" s="268"/>
      <x:c r="AP23" s="268"/>
      <x:c r="AQ23" s="268"/>
      <x:c r="AR23" s="268"/>
      <x:c r="AS23" s="268"/>
    </x:row>
    <x:row r="24" ht="32" customHeight="1">
      <x:c r="A24" s="258" t="str">
        <x:v>EF-020</x:v>
      </x:c>
      <x:c r="B24" s="259"/>
      <x:c r="C24" s="259"/>
      <x:c r="D24" s="259"/>
      <x:c r="E24" s="259"/>
      <x:c r="F24" s="259"/>
      <x:c r="G24" s="259"/>
      <x:c r="H24" s="259"/>
      <x:c r="I24" s="259"/>
      <x:c r="J24" s="259"/>
      <x:c r="K24" s="259"/>
      <x:c r="L24" s="259"/>
      <x:c r="M24" s="259"/>
      <x:c r="N24" s="260"/>
      <x:c r="O24" s="261"/>
      <x:c r="P24" s="262"/>
      <x:c r="Q24" s="262"/>
      <x:c r="R24" s="259"/>
      <x:c r="S24" s="259"/>
      <x:c r="T24" s="262"/>
      <x:c r="U24" s="259"/>
      <x:c r="V24" s="259"/>
      <x:c r="W24" s="259"/>
      <x:c r="X24" s="259"/>
      <x:c r="Y24" s="263"/>
      <x:c r="Z24" s="264"/>
      <x:c r="AA24" s="264"/>
      <x:c r="AB24" s="265" t="str">
        <x:f>IF(OR($AA24="",$T24=""),"",$AA24/$T24)</x:f>
      </x:c>
      <x:c r="AC24" s="266" t="str">
        <x:f>IF(OR($Y24="",$N24=""),"",$Y24-$N24)</x:f>
      </x:c>
      <x:c r="AD24" s="267"/>
      <x:c r="AE24" s="267"/>
      <x:c r="AF24" s="267"/>
      <x:c r="AG24" s="267"/>
      <x:c r="AH24" s="267"/>
      <x:c r="AI24" s="268"/>
      <x:c r="AJ24" s="268"/>
      <x:c r="AK24" s="268"/>
      <x:c r="AL24" s="268"/>
      <x:c r="AM24" s="269"/>
      <x:c r="AN24" s="269"/>
      <x:c r="AO24" s="268"/>
      <x:c r="AP24" s="268"/>
      <x:c r="AQ24" s="268"/>
      <x:c r="AR24" s="268"/>
      <x:c r="AS24" s="268"/>
    </x:row>
    <x:row r="25" ht="32" customHeight="1">
      <x:c r="A25" s="258" t="str">
        <x:v>EF-021</x:v>
      </x:c>
      <x:c r="B25" s="259"/>
      <x:c r="C25" s="259"/>
      <x:c r="D25" s="259"/>
      <x:c r="E25" s="259"/>
      <x:c r="F25" s="259"/>
      <x:c r="G25" s="259"/>
      <x:c r="H25" s="259"/>
      <x:c r="I25" s="259"/>
      <x:c r="J25" s="259"/>
      <x:c r="K25" s="259"/>
      <x:c r="L25" s="259"/>
      <x:c r="M25" s="259"/>
      <x:c r="N25" s="260"/>
      <x:c r="O25" s="261"/>
      <x:c r="P25" s="262"/>
      <x:c r="Q25" s="262"/>
      <x:c r="R25" s="259"/>
      <x:c r="S25" s="259"/>
      <x:c r="T25" s="262"/>
      <x:c r="U25" s="259"/>
      <x:c r="V25" s="259"/>
      <x:c r="W25" s="259"/>
      <x:c r="X25" s="259"/>
      <x:c r="Y25" s="263"/>
      <x:c r="Z25" s="264"/>
      <x:c r="AA25" s="264"/>
      <x:c r="AB25" s="265" t="str">
        <x:f>IF(OR($AA25="",$T25=""),"",$AA25/$T25)</x:f>
      </x:c>
      <x:c r="AC25" s="266" t="str">
        <x:f>IF(OR($Y25="",$N25=""),"",$Y25-$N25)</x:f>
      </x:c>
      <x:c r="AD25" s="267"/>
      <x:c r="AE25" s="267"/>
      <x:c r="AF25" s="267"/>
      <x:c r="AG25" s="267"/>
      <x:c r="AH25" s="267"/>
      <x:c r="AI25" s="268"/>
      <x:c r="AJ25" s="268"/>
      <x:c r="AK25" s="268"/>
      <x:c r="AL25" s="268"/>
      <x:c r="AM25" s="269"/>
      <x:c r="AN25" s="269"/>
      <x:c r="AO25" s="268"/>
      <x:c r="AP25" s="268"/>
      <x:c r="AQ25" s="268"/>
      <x:c r="AR25" s="268"/>
      <x:c r="AS25" s="268"/>
    </x:row>
    <x:row r="26" ht="32" customHeight="1">
      <x:c r="A26" s="258" t="str">
        <x:v>EF-022</x:v>
      </x:c>
      <x:c r="B26" s="259"/>
      <x:c r="C26" s="259"/>
      <x:c r="D26" s="259"/>
      <x:c r="E26" s="259"/>
      <x:c r="F26" s="259"/>
      <x:c r="G26" s="259"/>
      <x:c r="H26" s="259"/>
      <x:c r="I26" s="259"/>
      <x:c r="J26" s="259"/>
      <x:c r="K26" s="259"/>
      <x:c r="L26" s="259"/>
      <x:c r="M26" s="259"/>
      <x:c r="N26" s="260"/>
      <x:c r="O26" s="261"/>
      <x:c r="P26" s="262"/>
      <x:c r="Q26" s="262"/>
      <x:c r="R26" s="259"/>
      <x:c r="S26" s="259"/>
      <x:c r="T26" s="262"/>
      <x:c r="U26" s="259"/>
      <x:c r="V26" s="259"/>
      <x:c r="W26" s="259"/>
      <x:c r="X26" s="259"/>
      <x:c r="Y26" s="263"/>
      <x:c r="Z26" s="264"/>
      <x:c r="AA26" s="264"/>
      <x:c r="AB26" s="265" t="str">
        <x:f>IF(OR($AA26="",$T26=""),"",$AA26/$T26)</x:f>
      </x:c>
      <x:c r="AC26" s="266" t="str">
        <x:f>IF(OR($Y26="",$N26=""),"",$Y26-$N26)</x:f>
      </x:c>
      <x:c r="AD26" s="267"/>
      <x:c r="AE26" s="267"/>
      <x:c r="AF26" s="267"/>
      <x:c r="AG26" s="267"/>
      <x:c r="AH26" s="267"/>
      <x:c r="AI26" s="268"/>
      <x:c r="AJ26" s="268"/>
      <x:c r="AK26" s="268"/>
      <x:c r="AL26" s="268"/>
      <x:c r="AM26" s="269"/>
      <x:c r="AN26" s="269"/>
      <x:c r="AO26" s="268"/>
      <x:c r="AP26" s="268"/>
      <x:c r="AQ26" s="268"/>
      <x:c r="AR26" s="268"/>
      <x:c r="AS26" s="268"/>
    </x:row>
    <x:row r="27" ht="32" customHeight="1">
      <x:c r="A27" s="258" t="str">
        <x:v>EF-023</x:v>
      </x:c>
      <x:c r="B27" s="259"/>
      <x:c r="C27" s="259"/>
      <x:c r="D27" s="259"/>
      <x:c r="E27" s="259"/>
      <x:c r="F27" s="259"/>
      <x:c r="G27" s="259"/>
      <x:c r="H27" s="259"/>
      <x:c r="I27" s="259"/>
      <x:c r="J27" s="259"/>
      <x:c r="K27" s="259"/>
      <x:c r="L27" s="259"/>
      <x:c r="M27" s="259"/>
      <x:c r="N27" s="260"/>
      <x:c r="O27" s="261"/>
      <x:c r="P27" s="262"/>
      <x:c r="Q27" s="262"/>
      <x:c r="R27" s="259"/>
      <x:c r="S27" s="259"/>
      <x:c r="T27" s="262"/>
      <x:c r="U27" s="259"/>
      <x:c r="V27" s="259"/>
      <x:c r="W27" s="259"/>
      <x:c r="X27" s="259"/>
      <x:c r="Y27" s="263"/>
      <x:c r="Z27" s="264"/>
      <x:c r="AA27" s="264"/>
      <x:c r="AB27" s="265" t="str">
        <x:f>IF(OR($AA27="",$T27=""),"",$AA27/$T27)</x:f>
      </x:c>
      <x:c r="AC27" s="266" t="str">
        <x:f>IF(OR($Y27="",$N27=""),"",$Y27-$N27)</x:f>
      </x:c>
      <x:c r="AD27" s="267"/>
      <x:c r="AE27" s="267"/>
      <x:c r="AF27" s="267"/>
      <x:c r="AG27" s="267"/>
      <x:c r="AH27" s="267"/>
      <x:c r="AI27" s="268"/>
      <x:c r="AJ27" s="268"/>
      <x:c r="AK27" s="268"/>
      <x:c r="AL27" s="268"/>
      <x:c r="AM27" s="269"/>
      <x:c r="AN27" s="269"/>
      <x:c r="AO27" s="268"/>
      <x:c r="AP27" s="268"/>
      <x:c r="AQ27" s="268"/>
      <x:c r="AR27" s="268"/>
      <x:c r="AS27" s="268"/>
    </x:row>
    <x:row r="28" ht="32" customHeight="1">
      <x:c r="A28" s="258" t="str">
        <x:v>EF-024</x:v>
      </x:c>
      <x:c r="B28" s="259"/>
      <x:c r="C28" s="259"/>
      <x:c r="D28" s="259"/>
      <x:c r="E28" s="259"/>
      <x:c r="F28" s="259"/>
      <x:c r="G28" s="259"/>
      <x:c r="H28" s="259"/>
      <x:c r="I28" s="259"/>
      <x:c r="J28" s="259"/>
      <x:c r="K28" s="259"/>
      <x:c r="L28" s="259"/>
      <x:c r="M28" s="259"/>
      <x:c r="N28" s="260"/>
      <x:c r="O28" s="261"/>
      <x:c r="P28" s="262"/>
      <x:c r="Q28" s="262"/>
      <x:c r="R28" s="259"/>
      <x:c r="S28" s="259"/>
      <x:c r="T28" s="262"/>
      <x:c r="U28" s="259"/>
      <x:c r="V28" s="259"/>
      <x:c r="W28" s="259"/>
      <x:c r="X28" s="259"/>
      <x:c r="Y28" s="263"/>
      <x:c r="Z28" s="264"/>
      <x:c r="AA28" s="264"/>
      <x:c r="AB28" s="265" t="str">
        <x:f>IF(OR($AA28="",$T28=""),"",$AA28/$T28)</x:f>
      </x:c>
      <x:c r="AC28" s="266" t="str">
        <x:f>IF(OR($Y28="",$N28=""),"",$Y28-$N28)</x:f>
      </x:c>
      <x:c r="AD28" s="267"/>
      <x:c r="AE28" s="267"/>
      <x:c r="AF28" s="267"/>
      <x:c r="AG28" s="267"/>
      <x:c r="AH28" s="267"/>
      <x:c r="AI28" s="268"/>
      <x:c r="AJ28" s="268"/>
      <x:c r="AK28" s="268"/>
      <x:c r="AL28" s="268"/>
      <x:c r="AM28" s="269"/>
      <x:c r="AN28" s="269"/>
      <x:c r="AO28" s="268"/>
      <x:c r="AP28" s="268"/>
      <x:c r="AQ28" s="268"/>
      <x:c r="AR28" s="268"/>
      <x:c r="AS28" s="268"/>
    </x:row>
    <x:row r="29" ht="32" customHeight="1">
      <x:c r="A29" s="258" t="str">
        <x:v>EF-025</x:v>
      </x:c>
      <x:c r="B29" s="259"/>
      <x:c r="C29" s="259"/>
      <x:c r="D29" s="259"/>
      <x:c r="E29" s="259"/>
      <x:c r="F29" s="259"/>
      <x:c r="G29" s="259"/>
      <x:c r="H29" s="259"/>
      <x:c r="I29" s="259"/>
      <x:c r="J29" s="259"/>
      <x:c r="K29" s="259"/>
      <x:c r="L29" s="259"/>
      <x:c r="M29" s="259"/>
      <x:c r="N29" s="260"/>
      <x:c r="O29" s="261"/>
      <x:c r="P29" s="262"/>
      <x:c r="Q29" s="262"/>
      <x:c r="R29" s="259"/>
      <x:c r="S29" s="259"/>
      <x:c r="T29" s="262"/>
      <x:c r="U29" s="259"/>
      <x:c r="V29" s="259"/>
      <x:c r="W29" s="259"/>
      <x:c r="X29" s="259"/>
      <x:c r="Y29" s="263"/>
      <x:c r="Z29" s="264"/>
      <x:c r="AA29" s="264"/>
      <x:c r="AB29" s="265" t="str">
        <x:f>IF(OR($AA29="",$T29=""),"",$AA29/$T29)</x:f>
      </x:c>
      <x:c r="AC29" s="266" t="str">
        <x:f>IF(OR($Y29="",$N29=""),"",$Y29-$N29)</x:f>
      </x:c>
      <x:c r="AD29" s="267"/>
      <x:c r="AE29" s="267"/>
      <x:c r="AF29" s="267"/>
      <x:c r="AG29" s="267"/>
      <x:c r="AH29" s="267"/>
      <x:c r="AI29" s="268"/>
      <x:c r="AJ29" s="268"/>
      <x:c r="AK29" s="268"/>
      <x:c r="AL29" s="268"/>
      <x:c r="AM29" s="269"/>
      <x:c r="AN29" s="269"/>
      <x:c r="AO29" s="268"/>
      <x:c r="AP29" s="268"/>
      <x:c r="AQ29" s="268"/>
      <x:c r="AR29" s="268"/>
      <x:c r="AS29" s="268"/>
    </x:row>
    <x:row r="30" ht="32" customHeight="1">
      <x:c r="A30" s="258" t="str">
        <x:v>EF-026</x:v>
      </x:c>
      <x:c r="B30" s="259"/>
      <x:c r="C30" s="259"/>
      <x:c r="D30" s="259"/>
      <x:c r="E30" s="259"/>
      <x:c r="F30" s="259"/>
      <x:c r="G30" s="259"/>
      <x:c r="H30" s="259"/>
      <x:c r="I30" s="259"/>
      <x:c r="J30" s="259"/>
      <x:c r="K30" s="259"/>
      <x:c r="L30" s="259"/>
      <x:c r="M30" s="259"/>
      <x:c r="N30" s="260"/>
      <x:c r="O30" s="261"/>
      <x:c r="P30" s="262"/>
      <x:c r="Q30" s="262"/>
      <x:c r="R30" s="259"/>
      <x:c r="S30" s="259"/>
      <x:c r="T30" s="262"/>
      <x:c r="U30" s="259"/>
      <x:c r="V30" s="259"/>
      <x:c r="W30" s="259"/>
      <x:c r="X30" s="259"/>
      <x:c r="Y30" s="263"/>
      <x:c r="Z30" s="264"/>
      <x:c r="AA30" s="264"/>
      <x:c r="AB30" s="265" t="str">
        <x:f>IF(OR($AA30="",$T30=""),"",$AA30/$T30)</x:f>
      </x:c>
      <x:c r="AC30" s="266" t="str">
        <x:f>IF(OR($Y30="",$N30=""),"",$Y30-$N30)</x:f>
      </x:c>
      <x:c r="AD30" s="267"/>
      <x:c r="AE30" s="267"/>
      <x:c r="AF30" s="267"/>
      <x:c r="AG30" s="267"/>
      <x:c r="AH30" s="267"/>
      <x:c r="AI30" s="268"/>
      <x:c r="AJ30" s="268"/>
      <x:c r="AK30" s="268"/>
      <x:c r="AL30" s="268"/>
      <x:c r="AM30" s="269"/>
      <x:c r="AN30" s="269"/>
      <x:c r="AO30" s="268"/>
      <x:c r="AP30" s="268"/>
      <x:c r="AQ30" s="268"/>
      <x:c r="AR30" s="268"/>
      <x:c r="AS30" s="268"/>
    </x:row>
    <x:row r="31" ht="32" customHeight="1">
      <x:c r="A31" s="258" t="str">
        <x:v>EF-027</x:v>
      </x:c>
      <x:c r="B31" s="259"/>
      <x:c r="C31" s="259"/>
      <x:c r="D31" s="259"/>
      <x:c r="E31" s="259"/>
      <x:c r="F31" s="259"/>
      <x:c r="G31" s="259"/>
      <x:c r="H31" s="259"/>
      <x:c r="I31" s="259"/>
      <x:c r="J31" s="259"/>
      <x:c r="K31" s="259"/>
      <x:c r="L31" s="259"/>
      <x:c r="M31" s="259"/>
      <x:c r="N31" s="260"/>
      <x:c r="O31" s="261"/>
      <x:c r="P31" s="262"/>
      <x:c r="Q31" s="262"/>
      <x:c r="R31" s="259"/>
      <x:c r="S31" s="259"/>
      <x:c r="T31" s="262"/>
      <x:c r="U31" s="259"/>
      <x:c r="V31" s="259"/>
      <x:c r="W31" s="259"/>
      <x:c r="X31" s="259"/>
      <x:c r="Y31" s="263"/>
      <x:c r="Z31" s="264"/>
      <x:c r="AA31" s="264"/>
      <x:c r="AB31" s="265" t="str">
        <x:f>IF(OR($AA31="",$T31=""),"",$AA31/$T31)</x:f>
      </x:c>
      <x:c r="AC31" s="266" t="str">
        <x:f>IF(OR($Y31="",$N31=""),"",$Y31-$N31)</x:f>
      </x:c>
      <x:c r="AD31" s="267"/>
      <x:c r="AE31" s="267"/>
      <x:c r="AF31" s="267"/>
      <x:c r="AG31" s="267"/>
      <x:c r="AH31" s="267"/>
      <x:c r="AI31" s="268"/>
      <x:c r="AJ31" s="268"/>
      <x:c r="AK31" s="268"/>
      <x:c r="AL31" s="268"/>
      <x:c r="AM31" s="269"/>
      <x:c r="AN31" s="269"/>
      <x:c r="AO31" s="268"/>
      <x:c r="AP31" s="268"/>
      <x:c r="AQ31" s="268"/>
      <x:c r="AR31" s="268"/>
      <x:c r="AS31" s="268"/>
    </x:row>
    <x:row r="32" ht="32" customHeight="1">
      <x:c r="A32" s="258" t="str">
        <x:v>EF-028</x:v>
      </x:c>
      <x:c r="B32" s="259"/>
      <x:c r="C32" s="259"/>
      <x:c r="D32" s="259"/>
      <x:c r="E32" s="259"/>
      <x:c r="F32" s="259"/>
      <x:c r="G32" s="259"/>
      <x:c r="H32" s="259"/>
      <x:c r="I32" s="259"/>
      <x:c r="J32" s="259"/>
      <x:c r="K32" s="259"/>
      <x:c r="L32" s="259"/>
      <x:c r="M32" s="259"/>
      <x:c r="N32" s="260"/>
      <x:c r="O32" s="261"/>
      <x:c r="P32" s="262"/>
      <x:c r="Q32" s="262"/>
      <x:c r="R32" s="259"/>
      <x:c r="S32" s="259"/>
      <x:c r="T32" s="262"/>
      <x:c r="U32" s="259"/>
      <x:c r="V32" s="259"/>
      <x:c r="W32" s="259"/>
      <x:c r="X32" s="259"/>
      <x:c r="Y32" s="263"/>
      <x:c r="Z32" s="264"/>
      <x:c r="AA32" s="264"/>
      <x:c r="AB32" s="265" t="str">
        <x:f>IF(OR($AA32="",$T32=""),"",$AA32/$T32)</x:f>
      </x:c>
      <x:c r="AC32" s="266" t="str">
        <x:f>IF(OR($Y32="",$N32=""),"",$Y32-$N32)</x:f>
      </x:c>
      <x:c r="AD32" s="267"/>
      <x:c r="AE32" s="267"/>
      <x:c r="AF32" s="267"/>
      <x:c r="AG32" s="267"/>
      <x:c r="AH32" s="267"/>
      <x:c r="AI32" s="268"/>
      <x:c r="AJ32" s="268"/>
      <x:c r="AK32" s="268"/>
      <x:c r="AL32" s="268"/>
      <x:c r="AM32" s="269"/>
      <x:c r="AN32" s="269"/>
      <x:c r="AO32" s="268"/>
      <x:c r="AP32" s="268"/>
      <x:c r="AQ32" s="268"/>
      <x:c r="AR32" s="268"/>
      <x:c r="AS32" s="268"/>
    </x:row>
    <x:row r="33" ht="32" customHeight="1">
      <x:c r="A33" s="258" t="str">
        <x:v>EF-029</x:v>
      </x:c>
      <x:c r="B33" s="259"/>
      <x:c r="C33" s="259"/>
      <x:c r="D33" s="259"/>
      <x:c r="E33" s="259"/>
      <x:c r="F33" s="259"/>
      <x:c r="G33" s="259"/>
      <x:c r="H33" s="259"/>
      <x:c r="I33" s="259"/>
      <x:c r="J33" s="259"/>
      <x:c r="K33" s="259"/>
      <x:c r="L33" s="259"/>
      <x:c r="M33" s="259"/>
      <x:c r="N33" s="260"/>
      <x:c r="O33" s="261"/>
      <x:c r="P33" s="262"/>
      <x:c r="Q33" s="262"/>
      <x:c r="R33" s="259"/>
      <x:c r="S33" s="259"/>
      <x:c r="T33" s="262"/>
      <x:c r="U33" s="259"/>
      <x:c r="V33" s="259"/>
      <x:c r="W33" s="259"/>
      <x:c r="X33" s="259"/>
      <x:c r="Y33" s="263"/>
      <x:c r="Z33" s="264"/>
      <x:c r="AA33" s="264"/>
      <x:c r="AB33" s="265" t="str">
        <x:f>IF(OR($AA33="",$T33=""),"",$AA33/$T33)</x:f>
      </x:c>
      <x:c r="AC33" s="266" t="str">
        <x:f>IF(OR($Y33="",$N33=""),"",$Y33-$N33)</x:f>
      </x:c>
      <x:c r="AD33" s="267"/>
      <x:c r="AE33" s="267"/>
      <x:c r="AF33" s="267"/>
      <x:c r="AG33" s="267"/>
      <x:c r="AH33" s="267"/>
      <x:c r="AI33" s="268"/>
      <x:c r="AJ33" s="268"/>
      <x:c r="AK33" s="268"/>
      <x:c r="AL33" s="268"/>
      <x:c r="AM33" s="269"/>
      <x:c r="AN33" s="269"/>
      <x:c r="AO33" s="268"/>
      <x:c r="AP33" s="268"/>
      <x:c r="AQ33" s="268"/>
      <x:c r="AR33" s="268"/>
      <x:c r="AS33" s="268"/>
    </x:row>
    <x:row r="34" ht="32" customHeight="1">
      <x:c r="A34" s="258" t="str">
        <x:v>EF-030</x:v>
      </x:c>
      <x:c r="B34" s="259"/>
      <x:c r="C34" s="259"/>
      <x:c r="D34" s="259"/>
      <x:c r="E34" s="259"/>
      <x:c r="F34" s="259"/>
      <x:c r="G34" s="259"/>
      <x:c r="H34" s="259"/>
      <x:c r="I34" s="259"/>
      <x:c r="J34" s="259"/>
      <x:c r="K34" s="259"/>
      <x:c r="L34" s="259"/>
      <x:c r="M34" s="259"/>
      <x:c r="N34" s="260"/>
      <x:c r="O34" s="261"/>
      <x:c r="P34" s="262"/>
      <x:c r="Q34" s="262"/>
      <x:c r="R34" s="259"/>
      <x:c r="S34" s="259"/>
      <x:c r="T34" s="262"/>
      <x:c r="U34" s="259"/>
      <x:c r="V34" s="259"/>
      <x:c r="W34" s="259"/>
      <x:c r="X34" s="259"/>
      <x:c r="Y34" s="263"/>
      <x:c r="Z34" s="264"/>
      <x:c r="AA34" s="264"/>
      <x:c r="AB34" s="265" t="str">
        <x:f>IF(OR($AA34="",$T34=""),"",$AA34/$T34)</x:f>
      </x:c>
      <x:c r="AC34" s="266" t="str">
        <x:f>IF(OR($Y34="",$N34=""),"",$Y34-$N34)</x:f>
      </x:c>
      <x:c r="AD34" s="267"/>
      <x:c r="AE34" s="267"/>
      <x:c r="AF34" s="267"/>
      <x:c r="AG34" s="267"/>
      <x:c r="AH34" s="267"/>
      <x:c r="AI34" s="268"/>
      <x:c r="AJ34" s="268"/>
      <x:c r="AK34" s="268"/>
      <x:c r="AL34" s="268"/>
      <x:c r="AM34" s="269"/>
      <x:c r="AN34" s="269"/>
      <x:c r="AO34" s="268"/>
      <x:c r="AP34" s="268"/>
      <x:c r="AQ34" s="268"/>
      <x:c r="AR34" s="268"/>
      <x:c r="AS34" s="268"/>
    </x:row>
    <x:row r="35" ht="32" customHeight="1">
      <x:c r="A35" s="258" t="str">
        <x:v>EF-031</x:v>
      </x:c>
      <x:c r="B35" s="259"/>
      <x:c r="C35" s="259"/>
      <x:c r="D35" s="259"/>
      <x:c r="E35" s="259"/>
      <x:c r="F35" s="259"/>
      <x:c r="G35" s="259"/>
      <x:c r="H35" s="259"/>
      <x:c r="I35" s="259"/>
      <x:c r="J35" s="259"/>
      <x:c r="K35" s="259"/>
      <x:c r="L35" s="259"/>
      <x:c r="M35" s="259"/>
      <x:c r="N35" s="260"/>
      <x:c r="O35" s="261"/>
      <x:c r="P35" s="262"/>
      <x:c r="Q35" s="262"/>
      <x:c r="R35" s="259"/>
      <x:c r="S35" s="259"/>
      <x:c r="T35" s="262"/>
      <x:c r="U35" s="259"/>
      <x:c r="V35" s="259"/>
      <x:c r="W35" s="259"/>
      <x:c r="X35" s="259"/>
      <x:c r="Y35" s="263"/>
      <x:c r="Z35" s="264"/>
      <x:c r="AA35" s="264"/>
      <x:c r="AB35" s="265" t="str">
        <x:f>IF(OR($AA35="",$T35=""),"",$AA35/$T35)</x:f>
      </x:c>
      <x:c r="AC35" s="266" t="str">
        <x:f>IF(OR($Y35="",$N35=""),"",$Y35-$N35)</x:f>
      </x:c>
      <x:c r="AD35" s="267"/>
      <x:c r="AE35" s="267"/>
      <x:c r="AF35" s="267"/>
      <x:c r="AG35" s="267"/>
      <x:c r="AH35" s="267"/>
      <x:c r="AI35" s="268"/>
      <x:c r="AJ35" s="268"/>
      <x:c r="AK35" s="268"/>
      <x:c r="AL35" s="268"/>
      <x:c r="AM35" s="269"/>
      <x:c r="AN35" s="269"/>
      <x:c r="AO35" s="268"/>
      <x:c r="AP35" s="268"/>
      <x:c r="AQ35" s="268"/>
      <x:c r="AR35" s="268"/>
      <x:c r="AS35" s="268"/>
    </x:row>
    <x:row r="36" ht="32" customHeight="1">
      <x:c r="A36" s="258" t="str">
        <x:v>EF-032</x:v>
      </x:c>
      <x:c r="B36" s="259"/>
      <x:c r="C36" s="259"/>
      <x:c r="D36" s="259"/>
      <x:c r="E36" s="259"/>
      <x:c r="F36" s="259"/>
      <x:c r="G36" s="259"/>
      <x:c r="H36" s="259"/>
      <x:c r="I36" s="259"/>
      <x:c r="J36" s="259"/>
      <x:c r="K36" s="259"/>
      <x:c r="L36" s="259"/>
      <x:c r="M36" s="259"/>
      <x:c r="N36" s="260"/>
      <x:c r="O36" s="261"/>
      <x:c r="P36" s="262"/>
      <x:c r="Q36" s="262"/>
      <x:c r="R36" s="259"/>
      <x:c r="S36" s="259"/>
      <x:c r="T36" s="262"/>
      <x:c r="U36" s="259"/>
      <x:c r="V36" s="259"/>
      <x:c r="W36" s="259"/>
      <x:c r="X36" s="259"/>
      <x:c r="Y36" s="263"/>
      <x:c r="Z36" s="264"/>
      <x:c r="AA36" s="264"/>
      <x:c r="AB36" s="265" t="str">
        <x:f>IF(OR($AA36="",$T36=""),"",$AA36/$T36)</x:f>
      </x:c>
      <x:c r="AC36" s="266" t="str">
        <x:f>IF(OR($Y36="",$N36=""),"",$Y36-$N36)</x:f>
      </x:c>
      <x:c r="AD36" s="267"/>
      <x:c r="AE36" s="267"/>
      <x:c r="AF36" s="267"/>
      <x:c r="AG36" s="267"/>
      <x:c r="AH36" s="267"/>
      <x:c r="AI36" s="268"/>
      <x:c r="AJ36" s="268"/>
      <x:c r="AK36" s="268"/>
      <x:c r="AL36" s="268"/>
      <x:c r="AM36" s="269"/>
      <x:c r="AN36" s="269"/>
      <x:c r="AO36" s="268"/>
      <x:c r="AP36" s="268"/>
      <x:c r="AQ36" s="268"/>
      <x:c r="AR36" s="268"/>
      <x:c r="AS36" s="268"/>
    </x:row>
    <x:row r="37" ht="32" customHeight="1">
      <x:c r="A37" s="258" t="str">
        <x:v>EF-033</x:v>
      </x:c>
      <x:c r="B37" s="259"/>
      <x:c r="C37" s="259"/>
      <x:c r="D37" s="259"/>
      <x:c r="E37" s="259"/>
      <x:c r="F37" s="259"/>
      <x:c r="G37" s="259"/>
      <x:c r="H37" s="259"/>
      <x:c r="I37" s="259"/>
      <x:c r="J37" s="259"/>
      <x:c r="K37" s="259"/>
      <x:c r="L37" s="259"/>
      <x:c r="M37" s="259"/>
      <x:c r="N37" s="260"/>
      <x:c r="O37" s="261"/>
      <x:c r="P37" s="262"/>
      <x:c r="Q37" s="262"/>
      <x:c r="R37" s="259"/>
      <x:c r="S37" s="259"/>
      <x:c r="T37" s="262"/>
      <x:c r="U37" s="259"/>
      <x:c r="V37" s="259"/>
      <x:c r="W37" s="259"/>
      <x:c r="X37" s="259"/>
      <x:c r="Y37" s="263"/>
      <x:c r="Z37" s="264"/>
      <x:c r="AA37" s="264"/>
      <x:c r="AB37" s="265" t="str">
        <x:f>IF(OR($AA37="",$T37=""),"",$AA37/$T37)</x:f>
      </x:c>
      <x:c r="AC37" s="266" t="str">
        <x:f>IF(OR($Y37="",$N37=""),"",$Y37-$N37)</x:f>
      </x:c>
      <x:c r="AD37" s="267"/>
      <x:c r="AE37" s="267"/>
      <x:c r="AF37" s="267"/>
      <x:c r="AG37" s="267"/>
      <x:c r="AH37" s="267"/>
      <x:c r="AI37" s="268"/>
      <x:c r="AJ37" s="268"/>
      <x:c r="AK37" s="268"/>
      <x:c r="AL37" s="268"/>
      <x:c r="AM37" s="269"/>
      <x:c r="AN37" s="269"/>
      <x:c r="AO37" s="268"/>
      <x:c r="AP37" s="268"/>
      <x:c r="AQ37" s="268"/>
      <x:c r="AR37" s="268"/>
      <x:c r="AS37" s="268"/>
    </x:row>
    <x:row r="38" ht="32" customHeight="1">
      <x:c r="A38" s="258" t="str">
        <x:v>EF-034</x:v>
      </x:c>
      <x:c r="B38" s="259"/>
      <x:c r="C38" s="259"/>
      <x:c r="D38" s="259"/>
      <x:c r="E38" s="259"/>
      <x:c r="F38" s="259"/>
      <x:c r="G38" s="259"/>
      <x:c r="H38" s="259"/>
      <x:c r="I38" s="259"/>
      <x:c r="J38" s="259"/>
      <x:c r="K38" s="259"/>
      <x:c r="L38" s="259"/>
      <x:c r="M38" s="259"/>
      <x:c r="N38" s="260"/>
      <x:c r="O38" s="261"/>
      <x:c r="P38" s="262"/>
      <x:c r="Q38" s="262"/>
      <x:c r="R38" s="259"/>
      <x:c r="S38" s="259"/>
      <x:c r="T38" s="262"/>
      <x:c r="U38" s="259"/>
      <x:c r="V38" s="259"/>
      <x:c r="W38" s="259"/>
      <x:c r="X38" s="259"/>
      <x:c r="Y38" s="263"/>
      <x:c r="Z38" s="264"/>
      <x:c r="AA38" s="264"/>
      <x:c r="AB38" s="265" t="str">
        <x:f>IF(OR($AA38="",$T38=""),"",$AA38/$T38)</x:f>
      </x:c>
      <x:c r="AC38" s="266" t="str">
        <x:f>IF(OR($Y38="",$N38=""),"",$Y38-$N38)</x:f>
      </x:c>
      <x:c r="AD38" s="267"/>
      <x:c r="AE38" s="267"/>
      <x:c r="AF38" s="267"/>
      <x:c r="AG38" s="267"/>
      <x:c r="AH38" s="267"/>
      <x:c r="AI38" s="268"/>
      <x:c r="AJ38" s="268"/>
      <x:c r="AK38" s="268"/>
      <x:c r="AL38" s="268"/>
      <x:c r="AM38" s="269"/>
      <x:c r="AN38" s="269"/>
      <x:c r="AO38" s="268"/>
      <x:c r="AP38" s="268"/>
      <x:c r="AQ38" s="268"/>
      <x:c r="AR38" s="268"/>
      <x:c r="AS38" s="268"/>
    </x:row>
    <x:row r="39" ht="32" customHeight="1">
      <x:c r="A39" s="258" t="str">
        <x:v>EF-035</x:v>
      </x:c>
      <x:c r="B39" s="259"/>
      <x:c r="C39" s="259"/>
      <x:c r="D39" s="259"/>
      <x:c r="E39" s="259"/>
      <x:c r="F39" s="259"/>
      <x:c r="G39" s="259"/>
      <x:c r="H39" s="259"/>
      <x:c r="I39" s="259"/>
      <x:c r="J39" s="259"/>
      <x:c r="K39" s="259"/>
      <x:c r="L39" s="259"/>
      <x:c r="M39" s="259"/>
      <x:c r="N39" s="260"/>
      <x:c r="O39" s="261"/>
      <x:c r="P39" s="262"/>
      <x:c r="Q39" s="262"/>
      <x:c r="R39" s="259"/>
      <x:c r="S39" s="259"/>
      <x:c r="T39" s="262"/>
      <x:c r="U39" s="259"/>
      <x:c r="V39" s="259"/>
      <x:c r="W39" s="259"/>
      <x:c r="X39" s="259"/>
      <x:c r="Y39" s="263"/>
      <x:c r="Z39" s="264"/>
      <x:c r="AA39" s="264"/>
      <x:c r="AB39" s="265" t="str">
        <x:f>IF(OR($AA39="",$T39=""),"",$AA39/$T39)</x:f>
      </x:c>
      <x:c r="AC39" s="266" t="str">
        <x:f>IF(OR($Y39="",$N39=""),"",$Y39-$N39)</x:f>
      </x:c>
      <x:c r="AD39" s="267"/>
      <x:c r="AE39" s="267"/>
      <x:c r="AF39" s="267"/>
      <x:c r="AG39" s="267"/>
      <x:c r="AH39" s="267"/>
      <x:c r="AI39" s="268"/>
      <x:c r="AJ39" s="268"/>
      <x:c r="AK39" s="268"/>
      <x:c r="AL39" s="268"/>
      <x:c r="AM39" s="269"/>
      <x:c r="AN39" s="269"/>
      <x:c r="AO39" s="268"/>
      <x:c r="AP39" s="268"/>
      <x:c r="AQ39" s="268"/>
      <x:c r="AR39" s="268"/>
      <x:c r="AS39" s="268"/>
    </x:row>
    <x:row r="40" ht="32" customHeight="1">
      <x:c r="A40" s="258" t="str">
        <x:v>EF-036</x:v>
      </x:c>
      <x:c r="B40" s="259"/>
      <x:c r="C40" s="259"/>
      <x:c r="D40" s="259"/>
      <x:c r="E40" s="259"/>
      <x:c r="F40" s="259"/>
      <x:c r="G40" s="259"/>
      <x:c r="H40" s="259"/>
      <x:c r="I40" s="259"/>
      <x:c r="J40" s="259"/>
      <x:c r="K40" s="259"/>
      <x:c r="L40" s="259"/>
      <x:c r="M40" s="259"/>
      <x:c r="N40" s="260"/>
      <x:c r="O40" s="261"/>
      <x:c r="P40" s="262"/>
      <x:c r="Q40" s="262"/>
      <x:c r="R40" s="259"/>
      <x:c r="S40" s="259"/>
      <x:c r="T40" s="262"/>
      <x:c r="U40" s="259"/>
      <x:c r="V40" s="259"/>
      <x:c r="W40" s="259"/>
      <x:c r="X40" s="259"/>
      <x:c r="Y40" s="263"/>
      <x:c r="Z40" s="264"/>
      <x:c r="AA40" s="264"/>
      <x:c r="AB40" s="265" t="str">
        <x:f>IF(OR($AA40="",$T40=""),"",$AA40/$T40)</x:f>
      </x:c>
      <x:c r="AC40" s="266" t="str">
        <x:f>IF(OR($Y40="",$N40=""),"",$Y40-$N40)</x:f>
      </x:c>
      <x:c r="AD40" s="267"/>
      <x:c r="AE40" s="267"/>
      <x:c r="AF40" s="267"/>
      <x:c r="AG40" s="267"/>
      <x:c r="AH40" s="267"/>
      <x:c r="AI40" s="268"/>
      <x:c r="AJ40" s="268"/>
      <x:c r="AK40" s="268"/>
      <x:c r="AL40" s="268"/>
      <x:c r="AM40" s="269"/>
      <x:c r="AN40" s="269"/>
      <x:c r="AO40" s="268"/>
      <x:c r="AP40" s="268"/>
      <x:c r="AQ40" s="268"/>
      <x:c r="AR40" s="268"/>
      <x:c r="AS40" s="268"/>
    </x:row>
    <x:row r="41" ht="32" customHeight="1">
      <x:c r="A41" s="258" t="str">
        <x:v>EF-037</x:v>
      </x:c>
      <x:c r="B41" s="259"/>
      <x:c r="C41" s="259"/>
      <x:c r="D41" s="259"/>
      <x:c r="E41" s="259"/>
      <x:c r="F41" s="259"/>
      <x:c r="G41" s="259"/>
      <x:c r="H41" s="259"/>
      <x:c r="I41" s="259"/>
      <x:c r="J41" s="259"/>
      <x:c r="K41" s="259"/>
      <x:c r="L41" s="259"/>
      <x:c r="M41" s="259"/>
      <x:c r="N41" s="260"/>
      <x:c r="O41" s="261"/>
      <x:c r="P41" s="262"/>
      <x:c r="Q41" s="262"/>
      <x:c r="R41" s="259"/>
      <x:c r="S41" s="259"/>
      <x:c r="T41" s="262"/>
      <x:c r="U41" s="259"/>
      <x:c r="V41" s="259"/>
      <x:c r="W41" s="259"/>
      <x:c r="X41" s="259"/>
      <x:c r="Y41" s="263"/>
      <x:c r="Z41" s="264"/>
      <x:c r="AA41" s="264"/>
      <x:c r="AB41" s="265" t="str">
        <x:f>IF(OR($AA41="",$T41=""),"",$AA41/$T41)</x:f>
      </x:c>
      <x:c r="AC41" s="266" t="str">
        <x:f>IF(OR($Y41="",$N41=""),"",$Y41-$N41)</x:f>
      </x:c>
      <x:c r="AD41" s="267"/>
      <x:c r="AE41" s="267"/>
      <x:c r="AF41" s="267"/>
      <x:c r="AG41" s="267"/>
      <x:c r="AH41" s="267"/>
      <x:c r="AI41" s="268"/>
      <x:c r="AJ41" s="268"/>
      <x:c r="AK41" s="268"/>
      <x:c r="AL41" s="268"/>
      <x:c r="AM41" s="269"/>
      <x:c r="AN41" s="269"/>
      <x:c r="AO41" s="268"/>
      <x:c r="AP41" s="268"/>
      <x:c r="AQ41" s="268"/>
      <x:c r="AR41" s="268"/>
      <x:c r="AS41" s="268"/>
    </x:row>
    <x:row r="42" ht="32" customHeight="1">
      <x:c r="A42" s="258" t="str">
        <x:v>EF-038</x:v>
      </x:c>
      <x:c r="B42" s="259"/>
      <x:c r="C42" s="259"/>
      <x:c r="D42" s="259"/>
      <x:c r="E42" s="259"/>
      <x:c r="F42" s="259"/>
      <x:c r="G42" s="259"/>
      <x:c r="H42" s="259"/>
      <x:c r="I42" s="259"/>
      <x:c r="J42" s="259"/>
      <x:c r="K42" s="259"/>
      <x:c r="L42" s="259"/>
      <x:c r="M42" s="259"/>
      <x:c r="N42" s="260"/>
      <x:c r="O42" s="261"/>
      <x:c r="P42" s="262"/>
      <x:c r="Q42" s="262"/>
      <x:c r="R42" s="259"/>
      <x:c r="S42" s="259"/>
      <x:c r="T42" s="262"/>
      <x:c r="U42" s="259"/>
      <x:c r="V42" s="259"/>
      <x:c r="W42" s="259"/>
      <x:c r="X42" s="259"/>
      <x:c r="Y42" s="263"/>
      <x:c r="Z42" s="264"/>
      <x:c r="AA42" s="264"/>
      <x:c r="AB42" s="265" t="str">
        <x:f>IF(OR($AA42="",$T42=""),"",$AA42/$T42)</x:f>
      </x:c>
      <x:c r="AC42" s="266" t="str">
        <x:f>IF(OR($Y42="",$N42=""),"",$Y42-$N42)</x:f>
      </x:c>
      <x:c r="AD42" s="267"/>
      <x:c r="AE42" s="267"/>
      <x:c r="AF42" s="267"/>
      <x:c r="AG42" s="267"/>
      <x:c r="AH42" s="267"/>
      <x:c r="AI42" s="268"/>
      <x:c r="AJ42" s="268"/>
      <x:c r="AK42" s="268"/>
      <x:c r="AL42" s="268"/>
      <x:c r="AM42" s="269"/>
      <x:c r="AN42" s="269"/>
      <x:c r="AO42" s="268"/>
      <x:c r="AP42" s="268"/>
      <x:c r="AQ42" s="268"/>
      <x:c r="AR42" s="268"/>
      <x:c r="AS42" s="268"/>
    </x:row>
    <x:row r="43" ht="32" customHeight="1">
      <x:c r="A43" s="258" t="str">
        <x:v>EF-039</x:v>
      </x:c>
      <x:c r="B43" s="259"/>
      <x:c r="C43" s="259"/>
      <x:c r="D43" s="259"/>
      <x:c r="E43" s="259"/>
      <x:c r="F43" s="259"/>
      <x:c r="G43" s="259"/>
      <x:c r="H43" s="259"/>
      <x:c r="I43" s="259"/>
      <x:c r="J43" s="259"/>
      <x:c r="K43" s="259"/>
      <x:c r="L43" s="259"/>
      <x:c r="M43" s="259"/>
      <x:c r="N43" s="260"/>
      <x:c r="O43" s="261"/>
      <x:c r="P43" s="262"/>
      <x:c r="Q43" s="262"/>
      <x:c r="R43" s="259"/>
      <x:c r="S43" s="259"/>
      <x:c r="T43" s="262"/>
      <x:c r="U43" s="259"/>
      <x:c r="V43" s="259"/>
      <x:c r="W43" s="259"/>
      <x:c r="X43" s="259"/>
      <x:c r="Y43" s="263"/>
      <x:c r="Z43" s="264"/>
      <x:c r="AA43" s="264"/>
      <x:c r="AB43" s="265" t="str">
        <x:f>IF(OR($AA43="",$T43=""),"",$AA43/$T43)</x:f>
      </x:c>
      <x:c r="AC43" s="266" t="str">
        <x:f>IF(OR($Y43="",$N43=""),"",$Y43-$N43)</x:f>
      </x:c>
      <x:c r="AD43" s="267"/>
      <x:c r="AE43" s="267"/>
      <x:c r="AF43" s="267"/>
      <x:c r="AG43" s="267"/>
      <x:c r="AH43" s="267"/>
      <x:c r="AI43" s="268"/>
      <x:c r="AJ43" s="268"/>
      <x:c r="AK43" s="268"/>
      <x:c r="AL43" s="268"/>
      <x:c r="AM43" s="269"/>
      <x:c r="AN43" s="269"/>
      <x:c r="AO43" s="268"/>
      <x:c r="AP43" s="268"/>
      <x:c r="AQ43" s="268"/>
      <x:c r="AR43" s="268"/>
      <x:c r="AS43" s="268"/>
    </x:row>
    <x:row r="44" ht="32" customHeight="1">
      <x:c r="A44" s="258" t="str">
        <x:v>EF-040</x:v>
      </x:c>
      <x:c r="B44" s="259"/>
      <x:c r="C44" s="259"/>
      <x:c r="D44" s="259"/>
      <x:c r="E44" s="259"/>
      <x:c r="F44" s="259"/>
      <x:c r="G44" s="259"/>
      <x:c r="H44" s="259"/>
      <x:c r="I44" s="259"/>
      <x:c r="J44" s="259"/>
      <x:c r="K44" s="259"/>
      <x:c r="L44" s="259"/>
      <x:c r="M44" s="259"/>
      <x:c r="N44" s="260"/>
      <x:c r="O44" s="261"/>
      <x:c r="P44" s="262"/>
      <x:c r="Q44" s="262"/>
      <x:c r="R44" s="259"/>
      <x:c r="S44" s="259"/>
      <x:c r="T44" s="262"/>
      <x:c r="U44" s="259"/>
      <x:c r="V44" s="259"/>
      <x:c r="W44" s="259"/>
      <x:c r="X44" s="259"/>
      <x:c r="Y44" s="263"/>
      <x:c r="Z44" s="264"/>
      <x:c r="AA44" s="264"/>
      <x:c r="AB44" s="265" t="str">
        <x:f>IF(OR($AA44="",$T44=""),"",$AA44/$T44)</x:f>
      </x:c>
      <x:c r="AC44" s="266" t="str">
        <x:f>IF(OR($Y44="",$N44=""),"",$Y44-$N44)</x:f>
      </x:c>
      <x:c r="AD44" s="267"/>
      <x:c r="AE44" s="267"/>
      <x:c r="AF44" s="267"/>
      <x:c r="AG44" s="267"/>
      <x:c r="AH44" s="267"/>
      <x:c r="AI44" s="268"/>
      <x:c r="AJ44" s="268"/>
      <x:c r="AK44" s="268"/>
      <x:c r="AL44" s="268"/>
      <x:c r="AM44" s="269"/>
      <x:c r="AN44" s="269"/>
      <x:c r="AO44" s="268"/>
      <x:c r="AP44" s="268"/>
      <x:c r="AQ44" s="268"/>
      <x:c r="AR44" s="268"/>
      <x:c r="AS44" s="268"/>
    </x:row>
    <x:row r="45" ht="32" customHeight="1">
      <x:c r="A45" s="258" t="str">
        <x:v>EF-041</x:v>
      </x:c>
      <x:c r="B45" s="259"/>
      <x:c r="C45" s="259"/>
      <x:c r="D45" s="259"/>
      <x:c r="E45" s="259"/>
      <x:c r="F45" s="259"/>
      <x:c r="G45" s="259"/>
      <x:c r="H45" s="259"/>
      <x:c r="I45" s="259"/>
      <x:c r="J45" s="259"/>
      <x:c r="K45" s="259"/>
      <x:c r="L45" s="259"/>
      <x:c r="M45" s="259"/>
      <x:c r="N45" s="260"/>
      <x:c r="O45" s="261"/>
      <x:c r="P45" s="262"/>
      <x:c r="Q45" s="262"/>
      <x:c r="R45" s="259"/>
      <x:c r="S45" s="259"/>
      <x:c r="T45" s="262"/>
      <x:c r="U45" s="259"/>
      <x:c r="V45" s="259"/>
      <x:c r="W45" s="259"/>
      <x:c r="X45" s="259"/>
      <x:c r="Y45" s="263"/>
      <x:c r="Z45" s="264"/>
      <x:c r="AA45" s="264"/>
      <x:c r="AB45" s="265" t="str">
        <x:f>IF(OR($AA45="",$T45=""),"",$AA45/$T45)</x:f>
      </x:c>
      <x:c r="AC45" s="266" t="str">
        <x:f>IF(OR($Y45="",$N45=""),"",$Y45-$N45)</x:f>
      </x:c>
      <x:c r="AD45" s="267"/>
      <x:c r="AE45" s="267"/>
      <x:c r="AF45" s="267"/>
      <x:c r="AG45" s="267"/>
      <x:c r="AH45" s="267"/>
      <x:c r="AI45" s="268"/>
      <x:c r="AJ45" s="268"/>
      <x:c r="AK45" s="268"/>
      <x:c r="AL45" s="268"/>
      <x:c r="AM45" s="269"/>
      <x:c r="AN45" s="269"/>
      <x:c r="AO45" s="268"/>
      <x:c r="AP45" s="268"/>
      <x:c r="AQ45" s="268"/>
      <x:c r="AR45" s="268"/>
      <x:c r="AS45" s="268"/>
    </x:row>
    <x:row r="46" ht="32" customHeight="1">
      <x:c r="A46" s="258" t="str">
        <x:v>EF-042</x:v>
      </x:c>
      <x:c r="B46" s="259"/>
      <x:c r="C46" s="259"/>
      <x:c r="D46" s="259"/>
      <x:c r="E46" s="259"/>
      <x:c r="F46" s="259"/>
      <x:c r="G46" s="259"/>
      <x:c r="H46" s="259"/>
      <x:c r="I46" s="259"/>
      <x:c r="J46" s="259"/>
      <x:c r="K46" s="259"/>
      <x:c r="L46" s="259"/>
      <x:c r="M46" s="259"/>
      <x:c r="N46" s="260"/>
      <x:c r="O46" s="261"/>
      <x:c r="P46" s="262"/>
      <x:c r="Q46" s="262"/>
      <x:c r="R46" s="259"/>
      <x:c r="S46" s="259"/>
      <x:c r="T46" s="262"/>
      <x:c r="U46" s="259"/>
      <x:c r="V46" s="259"/>
      <x:c r="W46" s="259"/>
      <x:c r="X46" s="259"/>
      <x:c r="Y46" s="263"/>
      <x:c r="Z46" s="264"/>
      <x:c r="AA46" s="264"/>
      <x:c r="AB46" s="265" t="str">
        <x:f>IF(OR($AA46="",$T46=""),"",$AA46/$T46)</x:f>
      </x:c>
      <x:c r="AC46" s="266" t="str">
        <x:f>IF(OR($Y46="",$N46=""),"",$Y46-$N46)</x:f>
      </x:c>
      <x:c r="AD46" s="267"/>
      <x:c r="AE46" s="267"/>
      <x:c r="AF46" s="267"/>
      <x:c r="AG46" s="267"/>
      <x:c r="AH46" s="267"/>
      <x:c r="AI46" s="268"/>
      <x:c r="AJ46" s="268"/>
      <x:c r="AK46" s="268"/>
      <x:c r="AL46" s="268"/>
      <x:c r="AM46" s="269"/>
      <x:c r="AN46" s="269"/>
      <x:c r="AO46" s="268"/>
      <x:c r="AP46" s="268"/>
      <x:c r="AQ46" s="268"/>
      <x:c r="AR46" s="268"/>
      <x:c r="AS46" s="268"/>
    </x:row>
    <x:row r="47" ht="32" customHeight="1">
      <x:c r="A47" s="258" t="str">
        <x:v>EF-043</x:v>
      </x:c>
      <x:c r="B47" s="259"/>
      <x:c r="C47" s="259"/>
      <x:c r="D47" s="259"/>
      <x:c r="E47" s="259"/>
      <x:c r="F47" s="259"/>
      <x:c r="G47" s="259"/>
      <x:c r="H47" s="259"/>
      <x:c r="I47" s="259"/>
      <x:c r="J47" s="259"/>
      <x:c r="K47" s="259"/>
      <x:c r="L47" s="259"/>
      <x:c r="M47" s="259"/>
      <x:c r="N47" s="260"/>
      <x:c r="O47" s="261"/>
      <x:c r="P47" s="262"/>
      <x:c r="Q47" s="262"/>
      <x:c r="R47" s="259"/>
      <x:c r="S47" s="259"/>
      <x:c r="T47" s="262"/>
      <x:c r="U47" s="259"/>
      <x:c r="V47" s="259"/>
      <x:c r="W47" s="259"/>
      <x:c r="X47" s="259"/>
      <x:c r="Y47" s="263"/>
      <x:c r="Z47" s="264"/>
      <x:c r="AA47" s="264"/>
      <x:c r="AB47" s="265" t="str">
        <x:f>IF(OR($AA47="",$T47=""),"",$AA47/$T47)</x:f>
      </x:c>
      <x:c r="AC47" s="266" t="str">
        <x:f>IF(OR($Y47="",$N47=""),"",$Y47-$N47)</x:f>
      </x:c>
      <x:c r="AD47" s="267"/>
      <x:c r="AE47" s="267"/>
      <x:c r="AF47" s="267"/>
      <x:c r="AG47" s="267"/>
      <x:c r="AH47" s="267"/>
      <x:c r="AI47" s="268"/>
      <x:c r="AJ47" s="268"/>
      <x:c r="AK47" s="268"/>
      <x:c r="AL47" s="268"/>
      <x:c r="AM47" s="269"/>
      <x:c r="AN47" s="269"/>
      <x:c r="AO47" s="268"/>
      <x:c r="AP47" s="268"/>
      <x:c r="AQ47" s="268"/>
      <x:c r="AR47" s="268"/>
      <x:c r="AS47" s="268"/>
    </x:row>
    <x:row r="48" ht="32" customHeight="1">
      <x:c r="A48" s="258" t="str">
        <x:v>EF-044</x:v>
      </x:c>
      <x:c r="B48" s="259"/>
      <x:c r="C48" s="259"/>
      <x:c r="D48" s="259"/>
      <x:c r="E48" s="259"/>
      <x:c r="F48" s="259"/>
      <x:c r="G48" s="259"/>
      <x:c r="H48" s="259"/>
      <x:c r="I48" s="259"/>
      <x:c r="J48" s="259"/>
      <x:c r="K48" s="259"/>
      <x:c r="L48" s="259"/>
      <x:c r="M48" s="259"/>
      <x:c r="N48" s="260"/>
      <x:c r="O48" s="261"/>
      <x:c r="P48" s="262"/>
      <x:c r="Q48" s="262"/>
      <x:c r="R48" s="259"/>
      <x:c r="S48" s="259"/>
      <x:c r="T48" s="262"/>
      <x:c r="U48" s="259"/>
      <x:c r="V48" s="259"/>
      <x:c r="W48" s="259"/>
      <x:c r="X48" s="259"/>
      <x:c r="Y48" s="263"/>
      <x:c r="Z48" s="264"/>
      <x:c r="AA48" s="264"/>
      <x:c r="AB48" s="265" t="str">
        <x:f>IF(OR($AA48="",$T48=""),"",$AA48/$T48)</x:f>
      </x:c>
      <x:c r="AC48" s="266" t="str">
        <x:f>IF(OR($Y48="",$N48=""),"",$Y48-$N48)</x:f>
      </x:c>
      <x:c r="AD48" s="267"/>
      <x:c r="AE48" s="267"/>
      <x:c r="AF48" s="267"/>
      <x:c r="AG48" s="267"/>
      <x:c r="AH48" s="267"/>
      <x:c r="AI48" s="268"/>
      <x:c r="AJ48" s="268"/>
      <x:c r="AK48" s="268"/>
      <x:c r="AL48" s="268"/>
      <x:c r="AM48" s="269"/>
      <x:c r="AN48" s="269"/>
      <x:c r="AO48" s="268"/>
      <x:c r="AP48" s="268"/>
      <x:c r="AQ48" s="268"/>
      <x:c r="AR48" s="268"/>
      <x:c r="AS48" s="268"/>
    </x:row>
    <x:row r="49" ht="32" customHeight="1">
      <x:c r="A49" s="258" t="str">
        <x:v>EF-045</x:v>
      </x:c>
      <x:c r="B49" s="259"/>
      <x:c r="C49" s="259"/>
      <x:c r="D49" s="259"/>
      <x:c r="E49" s="259"/>
      <x:c r="F49" s="259"/>
      <x:c r="G49" s="259"/>
      <x:c r="H49" s="259"/>
      <x:c r="I49" s="259"/>
      <x:c r="J49" s="259"/>
      <x:c r="K49" s="259"/>
      <x:c r="L49" s="259"/>
      <x:c r="M49" s="259"/>
      <x:c r="N49" s="260"/>
      <x:c r="O49" s="261"/>
      <x:c r="P49" s="262"/>
      <x:c r="Q49" s="262"/>
      <x:c r="R49" s="259"/>
      <x:c r="S49" s="259"/>
      <x:c r="T49" s="262"/>
      <x:c r="U49" s="259"/>
      <x:c r="V49" s="259"/>
      <x:c r="W49" s="259"/>
      <x:c r="X49" s="259"/>
      <x:c r="Y49" s="263"/>
      <x:c r="Z49" s="264"/>
      <x:c r="AA49" s="264"/>
      <x:c r="AB49" s="265" t="str">
        <x:f>IF(OR($AA49="",$T49=""),"",$AA49/$T49)</x:f>
      </x:c>
      <x:c r="AC49" s="266" t="str">
        <x:f>IF(OR($Y49="",$N49=""),"",$Y49-$N49)</x:f>
      </x:c>
      <x:c r="AD49" s="267"/>
      <x:c r="AE49" s="267"/>
      <x:c r="AF49" s="267"/>
      <x:c r="AG49" s="267"/>
      <x:c r="AH49" s="267"/>
      <x:c r="AI49" s="268"/>
      <x:c r="AJ49" s="268"/>
      <x:c r="AK49" s="268"/>
      <x:c r="AL49" s="268"/>
      <x:c r="AM49" s="269"/>
      <x:c r="AN49" s="269"/>
      <x:c r="AO49" s="268"/>
      <x:c r="AP49" s="268"/>
      <x:c r="AQ49" s="268"/>
      <x:c r="AR49" s="268"/>
      <x:c r="AS49" s="268"/>
    </x:row>
    <x:row r="50" ht="32" customHeight="1">
      <x:c r="A50" s="258" t="str">
        <x:v>EF-046</x:v>
      </x:c>
      <x:c r="B50" s="259"/>
      <x:c r="C50" s="259"/>
      <x:c r="D50" s="259"/>
      <x:c r="E50" s="259"/>
      <x:c r="F50" s="259"/>
      <x:c r="G50" s="259"/>
      <x:c r="H50" s="259"/>
      <x:c r="I50" s="259"/>
      <x:c r="J50" s="259"/>
      <x:c r="K50" s="259"/>
      <x:c r="L50" s="259"/>
      <x:c r="M50" s="259"/>
      <x:c r="N50" s="260"/>
      <x:c r="O50" s="261"/>
      <x:c r="P50" s="262"/>
      <x:c r="Q50" s="262"/>
      <x:c r="R50" s="259"/>
      <x:c r="S50" s="259"/>
      <x:c r="T50" s="262"/>
      <x:c r="U50" s="259"/>
      <x:c r="V50" s="259"/>
      <x:c r="W50" s="259"/>
      <x:c r="X50" s="259"/>
      <x:c r="Y50" s="263"/>
      <x:c r="Z50" s="264"/>
      <x:c r="AA50" s="264"/>
      <x:c r="AB50" s="265" t="str">
        <x:f>IF(OR($AA50="",$T50=""),"",$AA50/$T50)</x:f>
      </x:c>
      <x:c r="AC50" s="266" t="str">
        <x:f>IF(OR($Y50="",$N50=""),"",$Y50-$N50)</x:f>
      </x:c>
      <x:c r="AD50" s="267"/>
      <x:c r="AE50" s="267"/>
      <x:c r="AF50" s="267"/>
      <x:c r="AG50" s="267"/>
      <x:c r="AH50" s="267"/>
      <x:c r="AI50" s="268"/>
      <x:c r="AJ50" s="268"/>
      <x:c r="AK50" s="268"/>
      <x:c r="AL50" s="268"/>
      <x:c r="AM50" s="269"/>
      <x:c r="AN50" s="269"/>
      <x:c r="AO50" s="268"/>
      <x:c r="AP50" s="268"/>
      <x:c r="AQ50" s="268"/>
      <x:c r="AR50" s="268"/>
      <x:c r="AS50" s="268"/>
    </x:row>
    <x:row r="51" ht="32" customHeight="1">
      <x:c r="A51" s="258" t="str">
        <x:v>EF-047</x:v>
      </x:c>
      <x:c r="B51" s="259"/>
      <x:c r="C51" s="259"/>
      <x:c r="D51" s="259"/>
      <x:c r="E51" s="259"/>
      <x:c r="F51" s="259"/>
      <x:c r="G51" s="259"/>
      <x:c r="H51" s="259"/>
      <x:c r="I51" s="259"/>
      <x:c r="J51" s="259"/>
      <x:c r="K51" s="259"/>
      <x:c r="L51" s="259"/>
      <x:c r="M51" s="259"/>
      <x:c r="N51" s="260"/>
      <x:c r="O51" s="261"/>
      <x:c r="P51" s="262"/>
      <x:c r="Q51" s="262"/>
      <x:c r="R51" s="259"/>
      <x:c r="S51" s="259"/>
      <x:c r="T51" s="262"/>
      <x:c r="U51" s="259"/>
      <x:c r="V51" s="259"/>
      <x:c r="W51" s="259"/>
      <x:c r="X51" s="259"/>
      <x:c r="Y51" s="263"/>
      <x:c r="Z51" s="264"/>
      <x:c r="AA51" s="264"/>
      <x:c r="AB51" s="265" t="str">
        <x:f>IF(OR($AA51="",$T51=""),"",$AA51/$T51)</x:f>
      </x:c>
      <x:c r="AC51" s="266" t="str">
        <x:f>IF(OR($Y51="",$N51=""),"",$Y51-$N51)</x:f>
      </x:c>
      <x:c r="AD51" s="267"/>
      <x:c r="AE51" s="267"/>
      <x:c r="AF51" s="267"/>
      <x:c r="AG51" s="267"/>
      <x:c r="AH51" s="267"/>
      <x:c r="AI51" s="268"/>
      <x:c r="AJ51" s="268"/>
      <x:c r="AK51" s="268"/>
      <x:c r="AL51" s="268"/>
      <x:c r="AM51" s="269"/>
      <x:c r="AN51" s="269"/>
      <x:c r="AO51" s="268"/>
      <x:c r="AP51" s="268"/>
      <x:c r="AQ51" s="268"/>
      <x:c r="AR51" s="268"/>
      <x:c r="AS51" s="268"/>
    </x:row>
    <x:row r="52" ht="32" customHeight="1">
      <x:c r="A52" s="258" t="str">
        <x:v>EF-048</x:v>
      </x:c>
      <x:c r="B52" s="259"/>
      <x:c r="C52" s="259"/>
      <x:c r="D52" s="259"/>
      <x:c r="E52" s="259"/>
      <x:c r="F52" s="259"/>
      <x:c r="G52" s="259"/>
      <x:c r="H52" s="259"/>
      <x:c r="I52" s="259"/>
      <x:c r="J52" s="259"/>
      <x:c r="K52" s="259"/>
      <x:c r="L52" s="259"/>
      <x:c r="M52" s="259"/>
      <x:c r="N52" s="260"/>
      <x:c r="O52" s="261"/>
      <x:c r="P52" s="262"/>
      <x:c r="Q52" s="262"/>
      <x:c r="R52" s="259"/>
      <x:c r="S52" s="259"/>
      <x:c r="T52" s="262"/>
      <x:c r="U52" s="259"/>
      <x:c r="V52" s="259"/>
      <x:c r="W52" s="259"/>
      <x:c r="X52" s="259"/>
      <x:c r="Y52" s="263"/>
      <x:c r="Z52" s="264"/>
      <x:c r="AA52" s="264"/>
      <x:c r="AB52" s="265" t="str">
        <x:f>IF(OR($AA52="",$T52=""),"",$AA52/$T52)</x:f>
      </x:c>
      <x:c r="AC52" s="266" t="str">
        <x:f>IF(OR($Y52="",$N52=""),"",$Y52-$N52)</x:f>
      </x:c>
      <x:c r="AD52" s="267"/>
      <x:c r="AE52" s="267"/>
      <x:c r="AF52" s="267"/>
      <x:c r="AG52" s="267"/>
      <x:c r="AH52" s="267"/>
      <x:c r="AI52" s="268"/>
      <x:c r="AJ52" s="268"/>
      <x:c r="AK52" s="268"/>
      <x:c r="AL52" s="268"/>
      <x:c r="AM52" s="269"/>
      <x:c r="AN52" s="269"/>
      <x:c r="AO52" s="268"/>
      <x:c r="AP52" s="268"/>
      <x:c r="AQ52" s="268"/>
      <x:c r="AR52" s="268"/>
      <x:c r="AS52" s="268"/>
    </x:row>
    <x:row r="53" ht="32" customHeight="1">
      <x:c r="A53" s="258" t="str">
        <x:v>EF-049</x:v>
      </x:c>
      <x:c r="B53" s="259"/>
      <x:c r="C53" s="259"/>
      <x:c r="D53" s="259"/>
      <x:c r="E53" s="259"/>
      <x:c r="F53" s="259"/>
      <x:c r="G53" s="259"/>
      <x:c r="H53" s="259"/>
      <x:c r="I53" s="259"/>
      <x:c r="J53" s="259"/>
      <x:c r="K53" s="259"/>
      <x:c r="L53" s="259"/>
      <x:c r="M53" s="259"/>
      <x:c r="N53" s="260"/>
      <x:c r="O53" s="261"/>
      <x:c r="P53" s="262"/>
      <x:c r="Q53" s="262"/>
      <x:c r="R53" s="259"/>
      <x:c r="S53" s="259"/>
      <x:c r="T53" s="262"/>
      <x:c r="U53" s="259"/>
      <x:c r="V53" s="259"/>
      <x:c r="W53" s="259"/>
      <x:c r="X53" s="259"/>
      <x:c r="Y53" s="263"/>
      <x:c r="Z53" s="264"/>
      <x:c r="AA53" s="264"/>
      <x:c r="AB53" s="265" t="str">
        <x:f>IF(OR($AA53="",$T53=""),"",$AA53/$T53)</x:f>
      </x:c>
      <x:c r="AC53" s="266" t="str">
        <x:f>IF(OR($Y53="",$N53=""),"",$Y53-$N53)</x:f>
      </x:c>
      <x:c r="AD53" s="267"/>
      <x:c r="AE53" s="267"/>
      <x:c r="AF53" s="267"/>
      <x:c r="AG53" s="267"/>
      <x:c r="AH53" s="267"/>
      <x:c r="AI53" s="268"/>
      <x:c r="AJ53" s="268"/>
      <x:c r="AK53" s="268"/>
      <x:c r="AL53" s="268"/>
      <x:c r="AM53" s="269"/>
      <x:c r="AN53" s="269"/>
      <x:c r="AO53" s="268"/>
      <x:c r="AP53" s="268"/>
      <x:c r="AQ53" s="268"/>
      <x:c r="AR53" s="268"/>
      <x:c r="AS53" s="268"/>
    </x:row>
    <x:row r="54" ht="32" customHeight="1">
      <x:c r="A54" s="258" t="str">
        <x:v>EF-050</x:v>
      </x:c>
      <x:c r="B54" s="259"/>
      <x:c r="C54" s="259"/>
      <x:c r="D54" s="259"/>
      <x:c r="E54" s="259"/>
      <x:c r="F54" s="259"/>
      <x:c r="G54" s="259"/>
      <x:c r="H54" s="259"/>
      <x:c r="I54" s="259"/>
      <x:c r="J54" s="259"/>
      <x:c r="K54" s="259"/>
      <x:c r="L54" s="259"/>
      <x:c r="M54" s="259"/>
      <x:c r="N54" s="260"/>
      <x:c r="O54" s="261"/>
      <x:c r="P54" s="262"/>
      <x:c r="Q54" s="262"/>
      <x:c r="R54" s="259"/>
      <x:c r="S54" s="259"/>
      <x:c r="T54" s="262"/>
      <x:c r="U54" s="259"/>
      <x:c r="V54" s="259"/>
      <x:c r="W54" s="259"/>
      <x:c r="X54" s="259"/>
      <x:c r="Y54" s="263"/>
      <x:c r="Z54" s="264"/>
      <x:c r="AA54" s="264"/>
      <x:c r="AB54" s="265" t="str">
        <x:f>IF(OR($AA54="",$T54=""),"",$AA54/$T54)</x:f>
      </x:c>
      <x:c r="AC54" s="266" t="str">
        <x:f>IF(OR($Y54="",$N54=""),"",$Y54-$N54)</x:f>
      </x:c>
      <x:c r="AD54" s="267"/>
      <x:c r="AE54" s="267"/>
      <x:c r="AF54" s="267"/>
      <x:c r="AG54" s="267"/>
      <x:c r="AH54" s="267"/>
      <x:c r="AI54" s="268"/>
      <x:c r="AJ54" s="268"/>
      <x:c r="AK54" s="268"/>
      <x:c r="AL54" s="268"/>
      <x:c r="AM54" s="269"/>
      <x:c r="AN54" s="269"/>
      <x:c r="AO54" s="268"/>
      <x:c r="AP54" s="268"/>
      <x:c r="AQ54" s="268"/>
      <x:c r="AR54" s="268"/>
      <x:c r="AS54" s="268"/>
    </x:row>
  </x:sheetData>
  <x:mergeCells>
    <x:mergeCell ref="A1:AS1"/>
    <x:mergeCell ref="A2:AS2"/>
    <x:mergeCell ref="A3:AS3"/>
  </x:mergeCells>
  <x:conditionalFormatting sqref="AA5:AB54">
    <x:cfRule type="cellIs" dxfId="0" priority="1" operator="greaterThan">
      <x:formula>0</x:formula>
    </x:cfRule>
    <x:cfRule type="cellIs" dxfId="1" priority="2" operator="lessThan">
      <x:formula>0</x:formula>
    </x:cfRule>
  </x:conditionalFormatting>
  <x:dataValidations count="22">
    <x:dataValidation type="list" sqref="C5:C54">
      <x:formula1>"Planned,Open,Reduced,Closed,Canceled"</x:formula1>
    </x:dataValidation>
    <x:dataValidation type="list" sqref="E5:E54">
      <x:formula1>"Stock,ETF,Call,Put,Spread,Other"</x:formula1>
    </x:dataValidation>
    <x:dataValidation type="list" sqref="F5:F54">
      <x:formula1>"Long,Bearish"</x:formula1>
    </x:dataValidation>
    <x:dataValidation type="list" sqref="G5:G54">
      <x:formula1>"Robinhood Social,Simply Wall St,Tickeron,Moomoo,Own Research,Other"</x:formula1>
    </x:dataValidation>
    <x:dataValidation type="list" sqref="I5:I54">
      <x:formula1>"Self-Directed MTF,Provider-Directed"</x:formula1>
    </x:dataValidation>
    <x:dataValidation type="list" sqref="J5:J54">
      <x:formula1>"Support Bounce,Support Reclaim,Breakout,Pullback in Uptrend,Momentum Continuation,Oversold Reversal,Overbought Reversal,Tickeron Signal-Following,Other"</x:formula1>
    </x:dataValidation>
    <x:dataValidation type="list" sqref="K5:K54">
      <x:formula1>"Intrabar Break,4H Close,Daily Close,Retest / Hold,Provider Entry Range,Other"</x:formula1>
    </x:dataValidation>
    <x:dataValidation type="list" sqref="U5:U54">
      <x:formula1>"Reduced (0.10%-0.15%),Default (0.20%),Elevated (0.21%-0.30%)"</x:formula1>
    </x:dataValidation>
    <x:dataValidation type="list" sqref="W5:W54">
      <x:formula1>"None,Earnings,FDA / Regulatory,Macro,Product / Launch,Other"</x:formula1>
    </x:dataValidation>
    <x:dataValidation type="list" sqref="X5:X54">
      <x:formula1>"Daily,Weekly,After Event,Provider-Driven,Other"</x:formula1>
    </x:dataValidation>
    <x:dataValidation type="list" sqref="AD5:AD54">
      <x:formula1>"Stop / Invalidation,Target,Provider Exit,Time Stop,Thesis Break,Manual Early Exit,Other"</x:formula1>
    </x:dataValidation>
    <x:dataValidation type="list" sqref="AE5:AE54">
      <x:formula1>"Full,Minor Deviation,Major Deviation"</x:formula1>
    </x:dataValidation>
    <x:dataValidation type="list" sqref="AF5:AF54">
      <x:formula1>"Setup Failure,Source Thesis Failure,Execution Issue,Event / Gap,Normal Loss / Rules Followed,Unclear,Other"</x:formula1>
    </x:dataValidation>
    <x:dataValidation type="list" sqref="AI5:AI54">
      <x:formula1>"Uptrend,Sideways,Downtrend,Not Reviewed"</x:formula1>
    </x:dataValidation>
    <x:dataValidation type="list" sqref="AJ5:AJ54">
      <x:formula1>"At Support,Near Resistance,Mid-Range,Above Breakout,Below Support,Other"</x:formula1>
    </x:dataValidation>
    <x:dataValidation type="list" sqref="AK5:AK54">
      <x:formula1>"Above All,Below All,Mixed,Not Reviewed"</x:formula1>
    </x:dataValidation>
    <x:dataValidation type="list" sqref="AL5:AL54">
      <x:formula1>"Above,Below,Crossing,Unclear"</x:formula1>
    </x:dataValidation>
    <x:dataValidation type="list" sqref="AO5:AO54">
      <x:formula1>"Below 20,Above 80,Neither,Not Reviewed"</x:formula1>
    </x:dataValidation>
    <x:dataValidation type="list" sqref="AP5:AP54">
      <x:formula1>"Bullish Crossover,Bearish Crossover,Improving,Weakening,Unclear,Not Reviewed"</x:formula1>
    </x:dataValidation>
    <x:dataValidation type="list" sqref="AQ5:AQ54">
      <x:formula1>"Rising,Flat,Falling,Not Reviewed"</x:formula1>
    </x:dataValidation>
    <x:dataValidation type="list" sqref="AR5:AR54">
      <x:formula1>"Supportive,No Effect,Concern,Veto,Not Reviewed"</x:formula1>
    </x:dataValidation>
    <x:dataValidation type="list" sqref="AS5:AS54">
      <x:formula1>"Favorable,Mixed,Unfavorable,Not Reviewed"</x:formula1>
    </x:dataValidation>
  </x:dataValidations>
  <x:pageMargins left="0.7" right="0.7" top="0.75" bottom="0.75" header="0.3" footer="0.3"/>
  <x:tableParts count="1">
    <x:tablePart xmlns:r="http://schemas.openxmlformats.org/officeDocument/2006/relationships" r:id="Rad4fc87d38e1444b"/>
  </x:tableParts>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10" hidden="0" customWidth="1"/>
    <x:col min="4" max="4" width="12" hidden="0" customWidth="1"/>
    <x:col min="5" max="5" width="18" hidden="0" customWidth="1"/>
    <x:col min="6" max="6" width="20" hidden="0" customWidth="1"/>
    <x:col min="7" max="7" width="22" hidden="0" customWidth="1"/>
    <x:col min="8" max="8" width="36" hidden="0" customWidth="1"/>
    <x:col min="9" max="9" width="20" hidden="0" customWidth="1"/>
    <x:col min="10" max="10" width="24" hidden="0" customWidth="1"/>
    <x:col min="11" max="11" width="24" hidden="0" customWidth="1"/>
    <x:col min="12" max="12" width="16" hidden="0" customWidth="1"/>
    <x:col min="13" max="13" width="18" hidden="0" customWidth="1"/>
    <x:col min="14" max="14" width="28" hidden="0" customWidth="1"/>
    <x:col min="15" max="15" width="34" hidden="0" customWidth="1"/>
    <x:col min="16" max="16" width="16" hidden="0" customWidth="1"/>
    <x:col min="17" max="17" width="14" hidden="0" customWidth="1"/>
    <x:col min="18" max="18" width="16" hidden="0" customWidth="1"/>
    <x:col min="19" max="19" width="16" hidden="0" customWidth="1"/>
    <x:col min="20" max="20" width="34" hidden="0" customWidth="1"/>
  </x:cols>
  <x:sheetData>
    <x:row r="1" ht="30" customHeight="1">
      <x:c r="A1" s="5" t="str">
        <x:v>Candidate &amp; Signal Log — Only Serious Candidates and Provider Signals</x:v>
      </x:c>
      <x:c r="B1" s="5"/>
      <x:c r="C1" s="5"/>
      <x:c r="D1" s="5"/>
      <x:c r="E1" s="5"/>
      <x:c r="F1" s="5"/>
      <x:c r="G1" s="5"/>
      <x:c r="H1" s="5"/>
      <x:c r="I1" s="5"/>
      <x:c r="J1" s="5"/>
      <x:c r="K1" s="5"/>
      <x:c r="L1" s="5"/>
      <x:c r="M1" s="5"/>
      <x:c r="N1" s="5"/>
      <x:c r="O1" s="5"/>
      <x:c r="P1" s="5"/>
      <x:c r="Q1" s="5"/>
      <x:c r="R1" s="5"/>
      <x:c r="S1" s="5"/>
      <x:c r="T1" s="5"/>
    </x:row>
    <x:row r="2">
      <x:c r="A2" s="89" t="str">
        <x:v>Log Tickeron signals even when missed or skipped. For other sources, log only ideas you seriously evaluate, reject, or place on a watchlist.</x:v>
      </x:c>
      <x:c r="B2" s="89"/>
      <x:c r="C2" s="89"/>
      <x:c r="D2" s="89"/>
      <x:c r="E2" s="89"/>
      <x:c r="F2" s="89"/>
      <x:c r="G2" s="89"/>
      <x:c r="H2" s="89"/>
      <x:c r="I2" s="89"/>
      <x:c r="J2" s="89"/>
      <x:c r="K2" s="89"/>
      <x:c r="L2" s="89"/>
      <x:c r="M2" s="89"/>
      <x:c r="N2" s="89"/>
      <x:c r="O2" s="89"/>
      <x:c r="P2" s="89"/>
      <x:c r="Q2" s="89"/>
      <x:c r="R2" s="89"/>
      <x:c r="S2" s="89"/>
      <x:c r="T2" s="89"/>
    </x:row>
    <x:row r="3">
      <x:c r="A3" s="283" t="str">
        <x:v>When a candidate becomes a trade, enter its Trade ID in Linked Trade ID.</x:v>
      </x:c>
      <x:c r="B3" s="283"/>
      <x:c r="C3" s="283"/>
      <x:c r="D3" s="283"/>
      <x:c r="E3" s="283"/>
      <x:c r="F3" s="283"/>
      <x:c r="G3" s="283"/>
      <x:c r="H3" s="283"/>
      <x:c r="I3" s="283"/>
      <x:c r="J3" s="283"/>
      <x:c r="K3" s="283"/>
      <x:c r="L3" s="283"/>
      <x:c r="M3" s="283"/>
      <x:c r="N3" s="283"/>
      <x:c r="O3" s="283"/>
      <x:c r="P3" s="283"/>
      <x:c r="Q3" s="283"/>
      <x:c r="R3" s="283"/>
      <x:c r="S3" s="283"/>
      <x:c r="T3" s="283"/>
    </x:row>
    <x:row r="4" ht="42" customHeight="1">
      <x:c r="A4" s="38" t="str">
        <x:v>Candidate ID</x:v>
      </x:c>
      <x:c r="B4" s="38" t="str">
        <x:v>Alert / Idea Date</x:v>
      </x:c>
      <x:c r="C4" s="38" t="str">
        <x:v>Ticker</x:v>
      </x:c>
      <x:c r="D4" s="38" t="str">
        <x:v>Direction</x:v>
      </x:c>
      <x:c r="E4" s="38" t="str">
        <x:v>Source</x:v>
      </x:c>
      <x:c r="F4" s="38" t="str">
        <x:v>Provider / Product</x:v>
      </x:c>
      <x:c r="G4" s="38" t="str">
        <x:v>Channel / Feature</x:v>
      </x:c>
      <x:c r="H4" s="38" t="str">
        <x:v>Source Thesis / Signal</x:v>
      </x:c>
      <x:c r="I4" s="38" t="str">
        <x:v>Provider Entry Range</x:v>
      </x:c>
      <x:c r="J4" s="38" t="str">
        <x:v>Provider Stop / Target</x:v>
      </x:c>
      <x:c r="K4" s="38" t="str">
        <x:v>Setup Considered</x:v>
      </x:c>
      <x:c r="L4" s="38" t="str">
        <x:v>MTF Observation</x:v>
      </x:c>
      <x:c r="M4" s="38" t="str">
        <x:v>Analyst Influence</x:v>
      </x:c>
      <x:c r="N4" s="38" t="str">
        <x:v>Candidate Status</x:v>
      </x:c>
      <x:c r="O4" s="38" t="str">
        <x:v>Decision Reason</x:v>
      </x:c>
      <x:c r="P4" s="38" t="str">
        <x:v>Price When Evaluated</x:v>
      </x:c>
      <x:c r="Q4" s="38" t="str">
        <x:v>Linked Trade ID</x:v>
      </x:c>
      <x:c r="R4" s="38" t="str">
        <x:v>1-Month Check Price</x:v>
      </x:c>
      <x:c r="S4" s="38" t="str">
        <x:v>3-Month Check Price</x:v>
      </x:c>
      <x:c r="T4" s="38" t="str">
        <x:v>Notes</x:v>
      </x:c>
    </x:row>
    <x:row r="5" ht="30" customHeight="1">
      <x:c r="A5" s="258" t="str">
        <x:v>C-001</x:v>
      </x:c>
      <x:c r="B5" s="260"/>
      <x:c r="C5" s="259"/>
      <x:c r="D5" s="259"/>
      <x:c r="E5" s="259"/>
      <x:c r="F5" s="259"/>
      <x:c r="G5" s="259"/>
      <x:c r="H5" s="259"/>
      <x:c r="I5" s="259"/>
      <x:c r="J5" s="259"/>
      <x:c r="K5" s="259"/>
      <x:c r="L5" s="259"/>
      <x:c r="M5" s="259"/>
      <x:c r="N5" s="259"/>
      <x:c r="O5" s="259"/>
      <x:c r="P5" s="262"/>
      <x:c r="Q5" s="259"/>
      <x:c r="R5" s="262"/>
      <x:c r="S5" s="262"/>
      <x:c r="T5" s="259"/>
    </x:row>
    <x:row r="6" ht="30" customHeight="1">
      <x:c r="A6" s="258" t="str">
        <x:v>C-002</x:v>
      </x:c>
      <x:c r="B6" s="260"/>
      <x:c r="C6" s="259"/>
      <x:c r="D6" s="259"/>
      <x:c r="E6" s="259"/>
      <x:c r="F6" s="259"/>
      <x:c r="G6" s="259"/>
      <x:c r="H6" s="259"/>
      <x:c r="I6" s="259"/>
      <x:c r="J6" s="259"/>
      <x:c r="K6" s="259"/>
      <x:c r="L6" s="259"/>
      <x:c r="M6" s="259"/>
      <x:c r="N6" s="259"/>
      <x:c r="O6" s="259"/>
      <x:c r="P6" s="262"/>
      <x:c r="Q6" s="259"/>
      <x:c r="R6" s="262"/>
      <x:c r="S6" s="262"/>
      <x:c r="T6" s="259"/>
    </x:row>
    <x:row r="7" ht="30" customHeight="1">
      <x:c r="A7" s="258" t="str">
        <x:v>C-003</x:v>
      </x:c>
      <x:c r="B7" s="260"/>
      <x:c r="C7" s="259"/>
      <x:c r="D7" s="259"/>
      <x:c r="E7" s="259"/>
      <x:c r="F7" s="259"/>
      <x:c r="G7" s="259"/>
      <x:c r="H7" s="259"/>
      <x:c r="I7" s="259"/>
      <x:c r="J7" s="259"/>
      <x:c r="K7" s="259"/>
      <x:c r="L7" s="259"/>
      <x:c r="M7" s="259"/>
      <x:c r="N7" s="259"/>
      <x:c r="O7" s="259"/>
      <x:c r="P7" s="262"/>
      <x:c r="Q7" s="259"/>
      <x:c r="R7" s="262"/>
      <x:c r="S7" s="262"/>
      <x:c r="T7" s="259"/>
    </x:row>
    <x:row r="8" ht="30" customHeight="1">
      <x:c r="A8" s="258" t="str">
        <x:v>C-004</x:v>
      </x:c>
      <x:c r="B8" s="260"/>
      <x:c r="C8" s="259"/>
      <x:c r="D8" s="259"/>
      <x:c r="E8" s="259"/>
      <x:c r="F8" s="259"/>
      <x:c r="G8" s="259"/>
      <x:c r="H8" s="259"/>
      <x:c r="I8" s="259"/>
      <x:c r="J8" s="259"/>
      <x:c r="K8" s="259"/>
      <x:c r="L8" s="259"/>
      <x:c r="M8" s="259"/>
      <x:c r="N8" s="259"/>
      <x:c r="O8" s="259"/>
      <x:c r="P8" s="262"/>
      <x:c r="Q8" s="259"/>
      <x:c r="R8" s="262"/>
      <x:c r="S8" s="262"/>
      <x:c r="T8" s="259"/>
    </x:row>
    <x:row r="9" ht="30" customHeight="1">
      <x:c r="A9" s="258" t="str">
        <x:v>C-005</x:v>
      </x:c>
      <x:c r="B9" s="260"/>
      <x:c r="C9" s="259"/>
      <x:c r="D9" s="259"/>
      <x:c r="E9" s="259"/>
      <x:c r="F9" s="259"/>
      <x:c r="G9" s="259"/>
      <x:c r="H9" s="259"/>
      <x:c r="I9" s="259"/>
      <x:c r="J9" s="259"/>
      <x:c r="K9" s="259"/>
      <x:c r="L9" s="259"/>
      <x:c r="M9" s="259"/>
      <x:c r="N9" s="259"/>
      <x:c r="O9" s="259"/>
      <x:c r="P9" s="262"/>
      <x:c r="Q9" s="259"/>
      <x:c r="R9" s="262"/>
      <x:c r="S9" s="262"/>
      <x:c r="T9" s="259"/>
    </x:row>
    <x:row r="10" ht="30" customHeight="1">
      <x:c r="A10" s="258" t="str">
        <x:v>C-006</x:v>
      </x:c>
      <x:c r="B10" s="260"/>
      <x:c r="C10" s="259"/>
      <x:c r="D10" s="259"/>
      <x:c r="E10" s="259"/>
      <x:c r="F10" s="259"/>
      <x:c r="G10" s="259"/>
      <x:c r="H10" s="259"/>
      <x:c r="I10" s="259"/>
      <x:c r="J10" s="259"/>
      <x:c r="K10" s="259"/>
      <x:c r="L10" s="259"/>
      <x:c r="M10" s="259"/>
      <x:c r="N10" s="259"/>
      <x:c r="O10" s="259"/>
      <x:c r="P10" s="262"/>
      <x:c r="Q10" s="259"/>
      <x:c r="R10" s="262"/>
      <x:c r="S10" s="262"/>
      <x:c r="T10" s="259"/>
    </x:row>
    <x:row r="11" ht="30" customHeight="1">
      <x:c r="A11" s="258" t="str">
        <x:v>C-007</x:v>
      </x:c>
      <x:c r="B11" s="260"/>
      <x:c r="C11" s="259"/>
      <x:c r="D11" s="259"/>
      <x:c r="E11" s="259"/>
      <x:c r="F11" s="259"/>
      <x:c r="G11" s="259"/>
      <x:c r="H11" s="259"/>
      <x:c r="I11" s="259"/>
      <x:c r="J11" s="259"/>
      <x:c r="K11" s="259"/>
      <x:c r="L11" s="259"/>
      <x:c r="M11" s="259"/>
      <x:c r="N11" s="259"/>
      <x:c r="O11" s="259"/>
      <x:c r="P11" s="262"/>
      <x:c r="Q11" s="259"/>
      <x:c r="R11" s="262"/>
      <x:c r="S11" s="262"/>
      <x:c r="T11" s="259"/>
    </x:row>
    <x:row r="12" ht="30" customHeight="1">
      <x:c r="A12" s="258" t="str">
        <x:v>C-008</x:v>
      </x:c>
      <x:c r="B12" s="260"/>
      <x:c r="C12" s="259"/>
      <x:c r="D12" s="259"/>
      <x:c r="E12" s="259"/>
      <x:c r="F12" s="259"/>
      <x:c r="G12" s="259"/>
      <x:c r="H12" s="259"/>
      <x:c r="I12" s="259"/>
      <x:c r="J12" s="259"/>
      <x:c r="K12" s="259"/>
      <x:c r="L12" s="259"/>
      <x:c r="M12" s="259"/>
      <x:c r="N12" s="259"/>
      <x:c r="O12" s="259"/>
      <x:c r="P12" s="262"/>
      <x:c r="Q12" s="259"/>
      <x:c r="R12" s="262"/>
      <x:c r="S12" s="262"/>
      <x:c r="T12" s="259"/>
    </x:row>
    <x:row r="13" ht="30" customHeight="1">
      <x:c r="A13" s="258" t="str">
        <x:v>C-009</x:v>
      </x:c>
      <x:c r="B13" s="260"/>
      <x:c r="C13" s="259"/>
      <x:c r="D13" s="259"/>
      <x:c r="E13" s="259"/>
      <x:c r="F13" s="259"/>
      <x:c r="G13" s="259"/>
      <x:c r="H13" s="259"/>
      <x:c r="I13" s="259"/>
      <x:c r="J13" s="259"/>
      <x:c r="K13" s="259"/>
      <x:c r="L13" s="259"/>
      <x:c r="M13" s="259"/>
      <x:c r="N13" s="259"/>
      <x:c r="O13" s="259"/>
      <x:c r="P13" s="262"/>
      <x:c r="Q13" s="259"/>
      <x:c r="R13" s="262"/>
      <x:c r="S13" s="262"/>
      <x:c r="T13" s="259"/>
    </x:row>
    <x:row r="14" ht="30" customHeight="1">
      <x:c r="A14" s="258" t="str">
        <x:v>C-010</x:v>
      </x:c>
      <x:c r="B14" s="260"/>
      <x:c r="C14" s="259"/>
      <x:c r="D14" s="259"/>
      <x:c r="E14" s="259"/>
      <x:c r="F14" s="259"/>
      <x:c r="G14" s="259"/>
      <x:c r="H14" s="259"/>
      <x:c r="I14" s="259"/>
      <x:c r="J14" s="259"/>
      <x:c r="K14" s="259"/>
      <x:c r="L14" s="259"/>
      <x:c r="M14" s="259"/>
      <x:c r="N14" s="259"/>
      <x:c r="O14" s="259"/>
      <x:c r="P14" s="262"/>
      <x:c r="Q14" s="259"/>
      <x:c r="R14" s="262"/>
      <x:c r="S14" s="262"/>
      <x:c r="T14" s="259"/>
    </x:row>
    <x:row r="15" ht="30" customHeight="1">
      <x:c r="A15" s="258" t="str">
        <x:v>C-011</x:v>
      </x:c>
      <x:c r="B15" s="260"/>
      <x:c r="C15" s="259"/>
      <x:c r="D15" s="259"/>
      <x:c r="E15" s="259"/>
      <x:c r="F15" s="259"/>
      <x:c r="G15" s="259"/>
      <x:c r="H15" s="259"/>
      <x:c r="I15" s="259"/>
      <x:c r="J15" s="259"/>
      <x:c r="K15" s="259"/>
      <x:c r="L15" s="259"/>
      <x:c r="M15" s="259"/>
      <x:c r="N15" s="259"/>
      <x:c r="O15" s="259"/>
      <x:c r="P15" s="262"/>
      <x:c r="Q15" s="259"/>
      <x:c r="R15" s="262"/>
      <x:c r="S15" s="262"/>
      <x:c r="T15" s="259"/>
    </x:row>
    <x:row r="16" ht="30" customHeight="1">
      <x:c r="A16" s="258" t="str">
        <x:v>C-012</x:v>
      </x:c>
      <x:c r="B16" s="260"/>
      <x:c r="C16" s="259"/>
      <x:c r="D16" s="259"/>
      <x:c r="E16" s="259"/>
      <x:c r="F16" s="259"/>
      <x:c r="G16" s="259"/>
      <x:c r="H16" s="259"/>
      <x:c r="I16" s="259"/>
      <x:c r="J16" s="259"/>
      <x:c r="K16" s="259"/>
      <x:c r="L16" s="259"/>
      <x:c r="M16" s="259"/>
      <x:c r="N16" s="259"/>
      <x:c r="O16" s="259"/>
      <x:c r="P16" s="262"/>
      <x:c r="Q16" s="259"/>
      <x:c r="R16" s="262"/>
      <x:c r="S16" s="262"/>
      <x:c r="T16" s="259"/>
    </x:row>
    <x:row r="17" ht="30" customHeight="1">
      <x:c r="A17" s="258" t="str">
        <x:v>C-013</x:v>
      </x:c>
      <x:c r="B17" s="260"/>
      <x:c r="C17" s="259"/>
      <x:c r="D17" s="259"/>
      <x:c r="E17" s="259"/>
      <x:c r="F17" s="259"/>
      <x:c r="G17" s="259"/>
      <x:c r="H17" s="259"/>
      <x:c r="I17" s="259"/>
      <x:c r="J17" s="259"/>
      <x:c r="K17" s="259"/>
      <x:c r="L17" s="259"/>
      <x:c r="M17" s="259"/>
      <x:c r="N17" s="259"/>
      <x:c r="O17" s="259"/>
      <x:c r="P17" s="262"/>
      <x:c r="Q17" s="259"/>
      <x:c r="R17" s="262"/>
      <x:c r="S17" s="262"/>
      <x:c r="T17" s="259"/>
    </x:row>
    <x:row r="18" ht="30" customHeight="1">
      <x:c r="A18" s="258" t="str">
        <x:v>C-014</x:v>
      </x:c>
      <x:c r="B18" s="260"/>
      <x:c r="C18" s="259"/>
      <x:c r="D18" s="259"/>
      <x:c r="E18" s="259"/>
      <x:c r="F18" s="259"/>
      <x:c r="G18" s="259"/>
      <x:c r="H18" s="259"/>
      <x:c r="I18" s="259"/>
      <x:c r="J18" s="259"/>
      <x:c r="K18" s="259"/>
      <x:c r="L18" s="259"/>
      <x:c r="M18" s="259"/>
      <x:c r="N18" s="259"/>
      <x:c r="O18" s="259"/>
      <x:c r="P18" s="262"/>
      <x:c r="Q18" s="259"/>
      <x:c r="R18" s="262"/>
      <x:c r="S18" s="262"/>
      <x:c r="T18" s="259"/>
    </x:row>
    <x:row r="19" ht="30" customHeight="1">
      <x:c r="A19" s="258" t="str">
        <x:v>C-015</x:v>
      </x:c>
      <x:c r="B19" s="260"/>
      <x:c r="C19" s="259"/>
      <x:c r="D19" s="259"/>
      <x:c r="E19" s="259"/>
      <x:c r="F19" s="259"/>
      <x:c r="G19" s="259"/>
      <x:c r="H19" s="259"/>
      <x:c r="I19" s="259"/>
      <x:c r="J19" s="259"/>
      <x:c r="K19" s="259"/>
      <x:c r="L19" s="259"/>
      <x:c r="M19" s="259"/>
      <x:c r="N19" s="259"/>
      <x:c r="O19" s="259"/>
      <x:c r="P19" s="262"/>
      <x:c r="Q19" s="259"/>
      <x:c r="R19" s="262"/>
      <x:c r="S19" s="262"/>
      <x:c r="T19" s="259"/>
    </x:row>
    <x:row r="20" ht="30" customHeight="1">
      <x:c r="A20" s="258" t="str">
        <x:v>C-016</x:v>
      </x:c>
      <x:c r="B20" s="260"/>
      <x:c r="C20" s="259"/>
      <x:c r="D20" s="259"/>
      <x:c r="E20" s="259"/>
      <x:c r="F20" s="259"/>
      <x:c r="G20" s="259"/>
      <x:c r="H20" s="259"/>
      <x:c r="I20" s="259"/>
      <x:c r="J20" s="259"/>
      <x:c r="K20" s="259"/>
      <x:c r="L20" s="259"/>
      <x:c r="M20" s="259"/>
      <x:c r="N20" s="259"/>
      <x:c r="O20" s="259"/>
      <x:c r="P20" s="262"/>
      <x:c r="Q20" s="259"/>
      <x:c r="R20" s="262"/>
      <x:c r="S20" s="262"/>
      <x:c r="T20" s="259"/>
    </x:row>
    <x:row r="21" ht="30" customHeight="1">
      <x:c r="A21" s="258" t="str">
        <x:v>C-017</x:v>
      </x:c>
      <x:c r="B21" s="260"/>
      <x:c r="C21" s="259"/>
      <x:c r="D21" s="259"/>
      <x:c r="E21" s="259"/>
      <x:c r="F21" s="259"/>
      <x:c r="G21" s="259"/>
      <x:c r="H21" s="259"/>
      <x:c r="I21" s="259"/>
      <x:c r="J21" s="259"/>
      <x:c r="K21" s="259"/>
      <x:c r="L21" s="259"/>
      <x:c r="M21" s="259"/>
      <x:c r="N21" s="259"/>
      <x:c r="O21" s="259"/>
      <x:c r="P21" s="262"/>
      <x:c r="Q21" s="259"/>
      <x:c r="R21" s="262"/>
      <x:c r="S21" s="262"/>
      <x:c r="T21" s="259"/>
    </x:row>
    <x:row r="22" ht="30" customHeight="1">
      <x:c r="A22" s="258" t="str">
        <x:v>C-018</x:v>
      </x:c>
      <x:c r="B22" s="260"/>
      <x:c r="C22" s="259"/>
      <x:c r="D22" s="259"/>
      <x:c r="E22" s="259"/>
      <x:c r="F22" s="259"/>
      <x:c r="G22" s="259"/>
      <x:c r="H22" s="259"/>
      <x:c r="I22" s="259"/>
      <x:c r="J22" s="259"/>
      <x:c r="K22" s="259"/>
      <x:c r="L22" s="259"/>
      <x:c r="M22" s="259"/>
      <x:c r="N22" s="259"/>
      <x:c r="O22" s="259"/>
      <x:c r="P22" s="262"/>
      <x:c r="Q22" s="259"/>
      <x:c r="R22" s="262"/>
      <x:c r="S22" s="262"/>
      <x:c r="T22" s="259"/>
    </x:row>
    <x:row r="23" ht="30" customHeight="1">
      <x:c r="A23" s="258" t="str">
        <x:v>C-019</x:v>
      </x:c>
      <x:c r="B23" s="260"/>
      <x:c r="C23" s="259"/>
      <x:c r="D23" s="259"/>
      <x:c r="E23" s="259"/>
      <x:c r="F23" s="259"/>
      <x:c r="G23" s="259"/>
      <x:c r="H23" s="259"/>
      <x:c r="I23" s="259"/>
      <x:c r="J23" s="259"/>
      <x:c r="K23" s="259"/>
      <x:c r="L23" s="259"/>
      <x:c r="M23" s="259"/>
      <x:c r="N23" s="259"/>
      <x:c r="O23" s="259"/>
      <x:c r="P23" s="262"/>
      <x:c r="Q23" s="259"/>
      <x:c r="R23" s="262"/>
      <x:c r="S23" s="262"/>
      <x:c r="T23" s="259"/>
    </x:row>
    <x:row r="24" ht="30" customHeight="1">
      <x:c r="A24" s="258" t="str">
        <x:v>C-020</x:v>
      </x:c>
      <x:c r="B24" s="260"/>
      <x:c r="C24" s="259"/>
      <x:c r="D24" s="259"/>
      <x:c r="E24" s="259"/>
      <x:c r="F24" s="259"/>
      <x:c r="G24" s="259"/>
      <x:c r="H24" s="259"/>
      <x:c r="I24" s="259"/>
      <x:c r="J24" s="259"/>
      <x:c r="K24" s="259"/>
      <x:c r="L24" s="259"/>
      <x:c r="M24" s="259"/>
      <x:c r="N24" s="259"/>
      <x:c r="O24" s="259"/>
      <x:c r="P24" s="262"/>
      <x:c r="Q24" s="259"/>
      <x:c r="R24" s="262"/>
      <x:c r="S24" s="262"/>
      <x:c r="T24" s="259"/>
    </x:row>
    <x:row r="25" ht="30" customHeight="1">
      <x:c r="A25" s="258" t="str">
        <x:v>C-021</x:v>
      </x:c>
      <x:c r="B25" s="260"/>
      <x:c r="C25" s="259"/>
      <x:c r="D25" s="259"/>
      <x:c r="E25" s="259"/>
      <x:c r="F25" s="259"/>
      <x:c r="G25" s="259"/>
      <x:c r="H25" s="259"/>
      <x:c r="I25" s="259"/>
      <x:c r="J25" s="259"/>
      <x:c r="K25" s="259"/>
      <x:c r="L25" s="259"/>
      <x:c r="M25" s="259"/>
      <x:c r="N25" s="259"/>
      <x:c r="O25" s="259"/>
      <x:c r="P25" s="262"/>
      <x:c r="Q25" s="259"/>
      <x:c r="R25" s="262"/>
      <x:c r="S25" s="262"/>
      <x:c r="T25" s="259"/>
    </x:row>
    <x:row r="26" ht="30" customHeight="1">
      <x:c r="A26" s="258" t="str">
        <x:v>C-022</x:v>
      </x:c>
      <x:c r="B26" s="260"/>
      <x:c r="C26" s="259"/>
      <x:c r="D26" s="259"/>
      <x:c r="E26" s="259"/>
      <x:c r="F26" s="259"/>
      <x:c r="G26" s="259"/>
      <x:c r="H26" s="259"/>
      <x:c r="I26" s="259"/>
      <x:c r="J26" s="259"/>
      <x:c r="K26" s="259"/>
      <x:c r="L26" s="259"/>
      <x:c r="M26" s="259"/>
      <x:c r="N26" s="259"/>
      <x:c r="O26" s="259"/>
      <x:c r="P26" s="262"/>
      <x:c r="Q26" s="259"/>
      <x:c r="R26" s="262"/>
      <x:c r="S26" s="262"/>
      <x:c r="T26" s="259"/>
    </x:row>
    <x:row r="27" ht="30" customHeight="1">
      <x:c r="A27" s="258" t="str">
        <x:v>C-023</x:v>
      </x:c>
      <x:c r="B27" s="260"/>
      <x:c r="C27" s="259"/>
      <x:c r="D27" s="259"/>
      <x:c r="E27" s="259"/>
      <x:c r="F27" s="259"/>
      <x:c r="G27" s="259"/>
      <x:c r="H27" s="259"/>
      <x:c r="I27" s="259"/>
      <x:c r="J27" s="259"/>
      <x:c r="K27" s="259"/>
      <x:c r="L27" s="259"/>
      <x:c r="M27" s="259"/>
      <x:c r="N27" s="259"/>
      <x:c r="O27" s="259"/>
      <x:c r="P27" s="262"/>
      <x:c r="Q27" s="259"/>
      <x:c r="R27" s="262"/>
      <x:c r="S27" s="262"/>
      <x:c r="T27" s="259"/>
    </x:row>
    <x:row r="28" ht="30" customHeight="1">
      <x:c r="A28" s="258" t="str">
        <x:v>C-024</x:v>
      </x:c>
      <x:c r="B28" s="260"/>
      <x:c r="C28" s="259"/>
      <x:c r="D28" s="259"/>
      <x:c r="E28" s="259"/>
      <x:c r="F28" s="259"/>
      <x:c r="G28" s="259"/>
      <x:c r="H28" s="259"/>
      <x:c r="I28" s="259"/>
      <x:c r="J28" s="259"/>
      <x:c r="K28" s="259"/>
      <x:c r="L28" s="259"/>
      <x:c r="M28" s="259"/>
      <x:c r="N28" s="259"/>
      <x:c r="O28" s="259"/>
      <x:c r="P28" s="262"/>
      <x:c r="Q28" s="259"/>
      <x:c r="R28" s="262"/>
      <x:c r="S28" s="262"/>
      <x:c r="T28" s="259"/>
    </x:row>
    <x:row r="29" ht="30" customHeight="1">
      <x:c r="A29" s="258" t="str">
        <x:v>C-025</x:v>
      </x:c>
      <x:c r="B29" s="260"/>
      <x:c r="C29" s="259"/>
      <x:c r="D29" s="259"/>
      <x:c r="E29" s="259"/>
      <x:c r="F29" s="259"/>
      <x:c r="G29" s="259"/>
      <x:c r="H29" s="259"/>
      <x:c r="I29" s="259"/>
      <x:c r="J29" s="259"/>
      <x:c r="K29" s="259"/>
      <x:c r="L29" s="259"/>
      <x:c r="M29" s="259"/>
      <x:c r="N29" s="259"/>
      <x:c r="O29" s="259"/>
      <x:c r="P29" s="262"/>
      <x:c r="Q29" s="259"/>
      <x:c r="R29" s="262"/>
      <x:c r="S29" s="262"/>
      <x:c r="T29" s="259"/>
    </x:row>
    <x:row r="30" ht="30" customHeight="1">
      <x:c r="A30" s="258" t="str">
        <x:v>C-026</x:v>
      </x:c>
      <x:c r="B30" s="260"/>
      <x:c r="C30" s="259"/>
      <x:c r="D30" s="259"/>
      <x:c r="E30" s="259"/>
      <x:c r="F30" s="259"/>
      <x:c r="G30" s="259"/>
      <x:c r="H30" s="259"/>
      <x:c r="I30" s="259"/>
      <x:c r="J30" s="259"/>
      <x:c r="K30" s="259"/>
      <x:c r="L30" s="259"/>
      <x:c r="M30" s="259"/>
      <x:c r="N30" s="259"/>
      <x:c r="O30" s="259"/>
      <x:c r="P30" s="262"/>
      <x:c r="Q30" s="259"/>
      <x:c r="R30" s="262"/>
      <x:c r="S30" s="262"/>
      <x:c r="T30" s="259"/>
    </x:row>
    <x:row r="31" ht="30" customHeight="1">
      <x:c r="A31" s="258" t="str">
        <x:v>C-027</x:v>
      </x:c>
      <x:c r="B31" s="260"/>
      <x:c r="C31" s="259"/>
      <x:c r="D31" s="259"/>
      <x:c r="E31" s="259"/>
      <x:c r="F31" s="259"/>
      <x:c r="G31" s="259"/>
      <x:c r="H31" s="259"/>
      <x:c r="I31" s="259"/>
      <x:c r="J31" s="259"/>
      <x:c r="K31" s="259"/>
      <x:c r="L31" s="259"/>
      <x:c r="M31" s="259"/>
      <x:c r="N31" s="259"/>
      <x:c r="O31" s="259"/>
      <x:c r="P31" s="262"/>
      <x:c r="Q31" s="259"/>
      <x:c r="R31" s="262"/>
      <x:c r="S31" s="262"/>
      <x:c r="T31" s="259"/>
    </x:row>
    <x:row r="32" ht="30" customHeight="1">
      <x:c r="A32" s="258" t="str">
        <x:v>C-028</x:v>
      </x:c>
      <x:c r="B32" s="260"/>
      <x:c r="C32" s="259"/>
      <x:c r="D32" s="259"/>
      <x:c r="E32" s="259"/>
      <x:c r="F32" s="259"/>
      <x:c r="G32" s="259"/>
      <x:c r="H32" s="259"/>
      <x:c r="I32" s="259"/>
      <x:c r="J32" s="259"/>
      <x:c r="K32" s="259"/>
      <x:c r="L32" s="259"/>
      <x:c r="M32" s="259"/>
      <x:c r="N32" s="259"/>
      <x:c r="O32" s="259"/>
      <x:c r="P32" s="262"/>
      <x:c r="Q32" s="259"/>
      <x:c r="R32" s="262"/>
      <x:c r="S32" s="262"/>
      <x:c r="T32" s="259"/>
    </x:row>
    <x:row r="33" ht="30" customHeight="1">
      <x:c r="A33" s="258" t="str">
        <x:v>C-029</x:v>
      </x:c>
      <x:c r="B33" s="260"/>
      <x:c r="C33" s="259"/>
      <x:c r="D33" s="259"/>
      <x:c r="E33" s="259"/>
      <x:c r="F33" s="259"/>
      <x:c r="G33" s="259"/>
      <x:c r="H33" s="259"/>
      <x:c r="I33" s="259"/>
      <x:c r="J33" s="259"/>
      <x:c r="K33" s="259"/>
      <x:c r="L33" s="259"/>
      <x:c r="M33" s="259"/>
      <x:c r="N33" s="259"/>
      <x:c r="O33" s="259"/>
      <x:c r="P33" s="262"/>
      <x:c r="Q33" s="259"/>
      <x:c r="R33" s="262"/>
      <x:c r="S33" s="262"/>
      <x:c r="T33" s="259"/>
    </x:row>
    <x:row r="34" ht="30" customHeight="1">
      <x:c r="A34" s="258" t="str">
        <x:v>C-030</x:v>
      </x:c>
      <x:c r="B34" s="260"/>
      <x:c r="C34" s="259"/>
      <x:c r="D34" s="259"/>
      <x:c r="E34" s="259"/>
      <x:c r="F34" s="259"/>
      <x:c r="G34" s="259"/>
      <x:c r="H34" s="259"/>
      <x:c r="I34" s="259"/>
      <x:c r="J34" s="259"/>
      <x:c r="K34" s="259"/>
      <x:c r="L34" s="259"/>
      <x:c r="M34" s="259"/>
      <x:c r="N34" s="259"/>
      <x:c r="O34" s="259"/>
      <x:c r="P34" s="262"/>
      <x:c r="Q34" s="259"/>
      <x:c r="R34" s="262"/>
      <x:c r="S34" s="262"/>
      <x:c r="T34" s="259"/>
    </x:row>
    <x:row r="35" ht="30" customHeight="1">
      <x:c r="A35" s="258" t="str">
        <x:v>C-031</x:v>
      </x:c>
      <x:c r="B35" s="260"/>
      <x:c r="C35" s="259"/>
      <x:c r="D35" s="259"/>
      <x:c r="E35" s="259"/>
      <x:c r="F35" s="259"/>
      <x:c r="G35" s="259"/>
      <x:c r="H35" s="259"/>
      <x:c r="I35" s="259"/>
      <x:c r="J35" s="259"/>
      <x:c r="K35" s="259"/>
      <x:c r="L35" s="259"/>
      <x:c r="M35" s="259"/>
      <x:c r="N35" s="259"/>
      <x:c r="O35" s="259"/>
      <x:c r="P35" s="262"/>
      <x:c r="Q35" s="259"/>
      <x:c r="R35" s="262"/>
      <x:c r="S35" s="262"/>
      <x:c r="T35" s="259"/>
    </x:row>
    <x:row r="36" ht="30" customHeight="1">
      <x:c r="A36" s="258" t="str">
        <x:v>C-032</x:v>
      </x:c>
      <x:c r="B36" s="260"/>
      <x:c r="C36" s="259"/>
      <x:c r="D36" s="259"/>
      <x:c r="E36" s="259"/>
      <x:c r="F36" s="259"/>
      <x:c r="G36" s="259"/>
      <x:c r="H36" s="259"/>
      <x:c r="I36" s="259"/>
      <x:c r="J36" s="259"/>
      <x:c r="K36" s="259"/>
      <x:c r="L36" s="259"/>
      <x:c r="M36" s="259"/>
      <x:c r="N36" s="259"/>
      <x:c r="O36" s="259"/>
      <x:c r="P36" s="262"/>
      <x:c r="Q36" s="259"/>
      <x:c r="R36" s="262"/>
      <x:c r="S36" s="262"/>
      <x:c r="T36" s="259"/>
    </x:row>
    <x:row r="37" ht="30" customHeight="1">
      <x:c r="A37" s="258" t="str">
        <x:v>C-033</x:v>
      </x:c>
      <x:c r="B37" s="260"/>
      <x:c r="C37" s="259"/>
      <x:c r="D37" s="259"/>
      <x:c r="E37" s="259"/>
      <x:c r="F37" s="259"/>
      <x:c r="G37" s="259"/>
      <x:c r="H37" s="259"/>
      <x:c r="I37" s="259"/>
      <x:c r="J37" s="259"/>
      <x:c r="K37" s="259"/>
      <x:c r="L37" s="259"/>
      <x:c r="M37" s="259"/>
      <x:c r="N37" s="259"/>
      <x:c r="O37" s="259"/>
      <x:c r="P37" s="262"/>
      <x:c r="Q37" s="259"/>
      <x:c r="R37" s="262"/>
      <x:c r="S37" s="262"/>
      <x:c r="T37" s="259"/>
    </x:row>
    <x:row r="38" ht="30" customHeight="1">
      <x:c r="A38" s="258" t="str">
        <x:v>C-034</x:v>
      </x:c>
      <x:c r="B38" s="260"/>
      <x:c r="C38" s="259"/>
      <x:c r="D38" s="259"/>
      <x:c r="E38" s="259"/>
      <x:c r="F38" s="259"/>
      <x:c r="G38" s="259"/>
      <x:c r="H38" s="259"/>
      <x:c r="I38" s="259"/>
      <x:c r="J38" s="259"/>
      <x:c r="K38" s="259"/>
      <x:c r="L38" s="259"/>
      <x:c r="M38" s="259"/>
      <x:c r="N38" s="259"/>
      <x:c r="O38" s="259"/>
      <x:c r="P38" s="262"/>
      <x:c r="Q38" s="259"/>
      <x:c r="R38" s="262"/>
      <x:c r="S38" s="262"/>
      <x:c r="T38" s="259"/>
    </x:row>
    <x:row r="39" ht="30" customHeight="1">
      <x:c r="A39" s="258" t="str">
        <x:v>C-035</x:v>
      </x:c>
      <x:c r="B39" s="260"/>
      <x:c r="C39" s="259"/>
      <x:c r="D39" s="259"/>
      <x:c r="E39" s="259"/>
      <x:c r="F39" s="259"/>
      <x:c r="G39" s="259"/>
      <x:c r="H39" s="259"/>
      <x:c r="I39" s="259"/>
      <x:c r="J39" s="259"/>
      <x:c r="K39" s="259"/>
      <x:c r="L39" s="259"/>
      <x:c r="M39" s="259"/>
      <x:c r="N39" s="259"/>
      <x:c r="O39" s="259"/>
      <x:c r="P39" s="262"/>
      <x:c r="Q39" s="259"/>
      <x:c r="R39" s="262"/>
      <x:c r="S39" s="262"/>
      <x:c r="T39" s="259"/>
    </x:row>
    <x:row r="40" ht="30" customHeight="1">
      <x:c r="A40" s="258" t="str">
        <x:v>C-036</x:v>
      </x:c>
      <x:c r="B40" s="260"/>
      <x:c r="C40" s="259"/>
      <x:c r="D40" s="259"/>
      <x:c r="E40" s="259"/>
      <x:c r="F40" s="259"/>
      <x:c r="G40" s="259"/>
      <x:c r="H40" s="259"/>
      <x:c r="I40" s="259"/>
      <x:c r="J40" s="259"/>
      <x:c r="K40" s="259"/>
      <x:c r="L40" s="259"/>
      <x:c r="M40" s="259"/>
      <x:c r="N40" s="259"/>
      <x:c r="O40" s="259"/>
      <x:c r="P40" s="262"/>
      <x:c r="Q40" s="259"/>
      <x:c r="R40" s="262"/>
      <x:c r="S40" s="262"/>
      <x:c r="T40" s="259"/>
    </x:row>
    <x:row r="41" ht="30" customHeight="1">
      <x:c r="A41" s="258" t="str">
        <x:v>C-037</x:v>
      </x:c>
      <x:c r="B41" s="260"/>
      <x:c r="C41" s="259"/>
      <x:c r="D41" s="259"/>
      <x:c r="E41" s="259"/>
      <x:c r="F41" s="259"/>
      <x:c r="G41" s="259"/>
      <x:c r="H41" s="259"/>
      <x:c r="I41" s="259"/>
      <x:c r="J41" s="259"/>
      <x:c r="K41" s="259"/>
      <x:c r="L41" s="259"/>
      <x:c r="M41" s="259"/>
      <x:c r="N41" s="259"/>
      <x:c r="O41" s="259"/>
      <x:c r="P41" s="262"/>
      <x:c r="Q41" s="259"/>
      <x:c r="R41" s="262"/>
      <x:c r="S41" s="262"/>
      <x:c r="T41" s="259"/>
    </x:row>
    <x:row r="42" ht="30" customHeight="1">
      <x:c r="A42" s="258" t="str">
        <x:v>C-038</x:v>
      </x:c>
      <x:c r="B42" s="260"/>
      <x:c r="C42" s="259"/>
      <x:c r="D42" s="259"/>
      <x:c r="E42" s="259"/>
      <x:c r="F42" s="259"/>
      <x:c r="G42" s="259"/>
      <x:c r="H42" s="259"/>
      <x:c r="I42" s="259"/>
      <x:c r="J42" s="259"/>
      <x:c r="K42" s="259"/>
      <x:c r="L42" s="259"/>
      <x:c r="M42" s="259"/>
      <x:c r="N42" s="259"/>
      <x:c r="O42" s="259"/>
      <x:c r="P42" s="262"/>
      <x:c r="Q42" s="259"/>
      <x:c r="R42" s="262"/>
      <x:c r="S42" s="262"/>
      <x:c r="T42" s="259"/>
    </x:row>
    <x:row r="43" ht="30" customHeight="1">
      <x:c r="A43" s="258" t="str">
        <x:v>C-039</x:v>
      </x:c>
      <x:c r="B43" s="260"/>
      <x:c r="C43" s="259"/>
      <x:c r="D43" s="259"/>
      <x:c r="E43" s="259"/>
      <x:c r="F43" s="259"/>
      <x:c r="G43" s="259"/>
      <x:c r="H43" s="259"/>
      <x:c r="I43" s="259"/>
      <x:c r="J43" s="259"/>
      <x:c r="K43" s="259"/>
      <x:c r="L43" s="259"/>
      <x:c r="M43" s="259"/>
      <x:c r="N43" s="259"/>
      <x:c r="O43" s="259"/>
      <x:c r="P43" s="262"/>
      <x:c r="Q43" s="259"/>
      <x:c r="R43" s="262"/>
      <x:c r="S43" s="262"/>
      <x:c r="T43" s="259"/>
    </x:row>
    <x:row r="44" ht="30" customHeight="1">
      <x:c r="A44" s="258" t="str">
        <x:v>C-040</x:v>
      </x:c>
      <x:c r="B44" s="260"/>
      <x:c r="C44" s="259"/>
      <x:c r="D44" s="259"/>
      <x:c r="E44" s="259"/>
      <x:c r="F44" s="259"/>
      <x:c r="G44" s="259"/>
      <x:c r="H44" s="259"/>
      <x:c r="I44" s="259"/>
      <x:c r="J44" s="259"/>
      <x:c r="K44" s="259"/>
      <x:c r="L44" s="259"/>
      <x:c r="M44" s="259"/>
      <x:c r="N44" s="259"/>
      <x:c r="O44" s="259"/>
      <x:c r="P44" s="262"/>
      <x:c r="Q44" s="259"/>
      <x:c r="R44" s="262"/>
      <x:c r="S44" s="262"/>
      <x:c r="T44" s="259"/>
    </x:row>
    <x:row r="45" ht="30" customHeight="1">
      <x:c r="A45" s="258" t="str">
        <x:v>C-041</x:v>
      </x:c>
      <x:c r="B45" s="260"/>
      <x:c r="C45" s="259"/>
      <x:c r="D45" s="259"/>
      <x:c r="E45" s="259"/>
      <x:c r="F45" s="259"/>
      <x:c r="G45" s="259"/>
      <x:c r="H45" s="259"/>
      <x:c r="I45" s="259"/>
      <x:c r="J45" s="259"/>
      <x:c r="K45" s="259"/>
      <x:c r="L45" s="259"/>
      <x:c r="M45" s="259"/>
      <x:c r="N45" s="259"/>
      <x:c r="O45" s="259"/>
      <x:c r="P45" s="262"/>
      <x:c r="Q45" s="259"/>
      <x:c r="R45" s="262"/>
      <x:c r="S45" s="262"/>
      <x:c r="T45" s="259"/>
    </x:row>
    <x:row r="46" ht="30" customHeight="1">
      <x:c r="A46" s="258" t="str">
        <x:v>C-042</x:v>
      </x:c>
      <x:c r="B46" s="260"/>
      <x:c r="C46" s="259"/>
      <x:c r="D46" s="259"/>
      <x:c r="E46" s="259"/>
      <x:c r="F46" s="259"/>
      <x:c r="G46" s="259"/>
      <x:c r="H46" s="259"/>
      <x:c r="I46" s="259"/>
      <x:c r="J46" s="259"/>
      <x:c r="K46" s="259"/>
      <x:c r="L46" s="259"/>
      <x:c r="M46" s="259"/>
      <x:c r="N46" s="259"/>
      <x:c r="O46" s="259"/>
      <x:c r="P46" s="262"/>
      <x:c r="Q46" s="259"/>
      <x:c r="R46" s="262"/>
      <x:c r="S46" s="262"/>
      <x:c r="T46" s="259"/>
    </x:row>
    <x:row r="47" ht="30" customHeight="1">
      <x:c r="A47" s="258" t="str">
        <x:v>C-043</x:v>
      </x:c>
      <x:c r="B47" s="260"/>
      <x:c r="C47" s="259"/>
      <x:c r="D47" s="259"/>
      <x:c r="E47" s="259"/>
      <x:c r="F47" s="259"/>
      <x:c r="G47" s="259"/>
      <x:c r="H47" s="259"/>
      <x:c r="I47" s="259"/>
      <x:c r="J47" s="259"/>
      <x:c r="K47" s="259"/>
      <x:c r="L47" s="259"/>
      <x:c r="M47" s="259"/>
      <x:c r="N47" s="259"/>
      <x:c r="O47" s="259"/>
      <x:c r="P47" s="262"/>
      <x:c r="Q47" s="259"/>
      <x:c r="R47" s="262"/>
      <x:c r="S47" s="262"/>
      <x:c r="T47" s="259"/>
    </x:row>
    <x:row r="48" ht="30" customHeight="1">
      <x:c r="A48" s="258" t="str">
        <x:v>C-044</x:v>
      </x:c>
      <x:c r="B48" s="260"/>
      <x:c r="C48" s="259"/>
      <x:c r="D48" s="259"/>
      <x:c r="E48" s="259"/>
      <x:c r="F48" s="259"/>
      <x:c r="G48" s="259"/>
      <x:c r="H48" s="259"/>
      <x:c r="I48" s="259"/>
      <x:c r="J48" s="259"/>
      <x:c r="K48" s="259"/>
      <x:c r="L48" s="259"/>
      <x:c r="M48" s="259"/>
      <x:c r="N48" s="259"/>
      <x:c r="O48" s="259"/>
      <x:c r="P48" s="262"/>
      <x:c r="Q48" s="259"/>
      <x:c r="R48" s="262"/>
      <x:c r="S48" s="262"/>
      <x:c r="T48" s="259"/>
    </x:row>
    <x:row r="49" ht="30" customHeight="1">
      <x:c r="A49" s="258" t="str">
        <x:v>C-045</x:v>
      </x:c>
      <x:c r="B49" s="260"/>
      <x:c r="C49" s="259"/>
      <x:c r="D49" s="259"/>
      <x:c r="E49" s="259"/>
      <x:c r="F49" s="259"/>
      <x:c r="G49" s="259"/>
      <x:c r="H49" s="259"/>
      <x:c r="I49" s="259"/>
      <x:c r="J49" s="259"/>
      <x:c r="K49" s="259"/>
      <x:c r="L49" s="259"/>
      <x:c r="M49" s="259"/>
      <x:c r="N49" s="259"/>
      <x:c r="O49" s="259"/>
      <x:c r="P49" s="262"/>
      <x:c r="Q49" s="259"/>
      <x:c r="R49" s="262"/>
      <x:c r="S49" s="262"/>
      <x:c r="T49" s="259"/>
    </x:row>
    <x:row r="50" ht="30" customHeight="1">
      <x:c r="A50" s="258" t="str">
        <x:v>C-046</x:v>
      </x:c>
      <x:c r="B50" s="260"/>
      <x:c r="C50" s="259"/>
      <x:c r="D50" s="259"/>
      <x:c r="E50" s="259"/>
      <x:c r="F50" s="259"/>
      <x:c r="G50" s="259"/>
      <x:c r="H50" s="259"/>
      <x:c r="I50" s="259"/>
      <x:c r="J50" s="259"/>
      <x:c r="K50" s="259"/>
      <x:c r="L50" s="259"/>
      <x:c r="M50" s="259"/>
      <x:c r="N50" s="259"/>
      <x:c r="O50" s="259"/>
      <x:c r="P50" s="262"/>
      <x:c r="Q50" s="259"/>
      <x:c r="R50" s="262"/>
      <x:c r="S50" s="262"/>
      <x:c r="T50" s="259"/>
    </x:row>
    <x:row r="51" ht="30" customHeight="1">
      <x:c r="A51" s="258" t="str">
        <x:v>C-047</x:v>
      </x:c>
      <x:c r="B51" s="260"/>
      <x:c r="C51" s="259"/>
      <x:c r="D51" s="259"/>
      <x:c r="E51" s="259"/>
      <x:c r="F51" s="259"/>
      <x:c r="G51" s="259"/>
      <x:c r="H51" s="259"/>
      <x:c r="I51" s="259"/>
      <x:c r="J51" s="259"/>
      <x:c r="K51" s="259"/>
      <x:c r="L51" s="259"/>
      <x:c r="M51" s="259"/>
      <x:c r="N51" s="259"/>
      <x:c r="O51" s="259"/>
      <x:c r="P51" s="262"/>
      <x:c r="Q51" s="259"/>
      <x:c r="R51" s="262"/>
      <x:c r="S51" s="262"/>
      <x:c r="T51" s="259"/>
    </x:row>
    <x:row r="52" ht="30" customHeight="1">
      <x:c r="A52" s="258" t="str">
        <x:v>C-048</x:v>
      </x:c>
      <x:c r="B52" s="260"/>
      <x:c r="C52" s="259"/>
      <x:c r="D52" s="259"/>
      <x:c r="E52" s="259"/>
      <x:c r="F52" s="259"/>
      <x:c r="G52" s="259"/>
      <x:c r="H52" s="259"/>
      <x:c r="I52" s="259"/>
      <x:c r="J52" s="259"/>
      <x:c r="K52" s="259"/>
      <x:c r="L52" s="259"/>
      <x:c r="M52" s="259"/>
      <x:c r="N52" s="259"/>
      <x:c r="O52" s="259"/>
      <x:c r="P52" s="262"/>
      <x:c r="Q52" s="259"/>
      <x:c r="R52" s="262"/>
      <x:c r="S52" s="262"/>
      <x:c r="T52" s="259"/>
    </x:row>
    <x:row r="53" ht="30" customHeight="1">
      <x:c r="A53" s="258" t="str">
        <x:v>C-049</x:v>
      </x:c>
      <x:c r="B53" s="260"/>
      <x:c r="C53" s="259"/>
      <x:c r="D53" s="259"/>
      <x:c r="E53" s="259"/>
      <x:c r="F53" s="259"/>
      <x:c r="G53" s="259"/>
      <x:c r="H53" s="259"/>
      <x:c r="I53" s="259"/>
      <x:c r="J53" s="259"/>
      <x:c r="K53" s="259"/>
      <x:c r="L53" s="259"/>
      <x:c r="M53" s="259"/>
      <x:c r="N53" s="259"/>
      <x:c r="O53" s="259"/>
      <x:c r="P53" s="262"/>
      <x:c r="Q53" s="259"/>
      <x:c r="R53" s="262"/>
      <x:c r="S53" s="262"/>
      <x:c r="T53" s="259"/>
    </x:row>
    <x:row r="54" ht="30" customHeight="1">
      <x:c r="A54" s="258" t="str">
        <x:v>C-050</x:v>
      </x:c>
      <x:c r="B54" s="260"/>
      <x:c r="C54" s="259"/>
      <x:c r="D54" s="259"/>
      <x:c r="E54" s="259"/>
      <x:c r="F54" s="259"/>
      <x:c r="G54" s="259"/>
      <x:c r="H54" s="259"/>
      <x:c r="I54" s="259"/>
      <x:c r="J54" s="259"/>
      <x:c r="K54" s="259"/>
      <x:c r="L54" s="259"/>
      <x:c r="M54" s="259"/>
      <x:c r="N54" s="259"/>
      <x:c r="O54" s="259"/>
      <x:c r="P54" s="262"/>
      <x:c r="Q54" s="259"/>
      <x:c r="R54" s="262"/>
      <x:c r="S54" s="262"/>
      <x:c r="T54" s="259"/>
    </x:row>
    <x:row r="55" ht="30" customHeight="1">
      <x:c r="A55" s="258" t="str">
        <x:v>C-051</x:v>
      </x:c>
      <x:c r="B55" s="260"/>
      <x:c r="C55" s="259"/>
      <x:c r="D55" s="259"/>
      <x:c r="E55" s="259"/>
      <x:c r="F55" s="259"/>
      <x:c r="G55" s="259"/>
      <x:c r="H55" s="259"/>
      <x:c r="I55" s="259"/>
      <x:c r="J55" s="259"/>
      <x:c r="K55" s="259"/>
      <x:c r="L55" s="259"/>
      <x:c r="M55" s="259"/>
      <x:c r="N55" s="259"/>
      <x:c r="O55" s="259"/>
      <x:c r="P55" s="262"/>
      <x:c r="Q55" s="259"/>
      <x:c r="R55" s="262"/>
      <x:c r="S55" s="262"/>
      <x:c r="T55" s="259"/>
    </x:row>
    <x:row r="56" ht="30" customHeight="1">
      <x:c r="A56" s="258" t="str">
        <x:v>C-052</x:v>
      </x:c>
      <x:c r="B56" s="260"/>
      <x:c r="C56" s="259"/>
      <x:c r="D56" s="259"/>
      <x:c r="E56" s="259"/>
      <x:c r="F56" s="259"/>
      <x:c r="G56" s="259"/>
      <x:c r="H56" s="259"/>
      <x:c r="I56" s="259"/>
      <x:c r="J56" s="259"/>
      <x:c r="K56" s="259"/>
      <x:c r="L56" s="259"/>
      <x:c r="M56" s="259"/>
      <x:c r="N56" s="259"/>
      <x:c r="O56" s="259"/>
      <x:c r="P56" s="262"/>
      <x:c r="Q56" s="259"/>
      <x:c r="R56" s="262"/>
      <x:c r="S56" s="262"/>
      <x:c r="T56" s="259"/>
    </x:row>
    <x:row r="57" ht="30" customHeight="1">
      <x:c r="A57" s="258" t="str">
        <x:v>C-053</x:v>
      </x:c>
      <x:c r="B57" s="260"/>
      <x:c r="C57" s="259"/>
      <x:c r="D57" s="259"/>
      <x:c r="E57" s="259"/>
      <x:c r="F57" s="259"/>
      <x:c r="G57" s="259"/>
      <x:c r="H57" s="259"/>
      <x:c r="I57" s="259"/>
      <x:c r="J57" s="259"/>
      <x:c r="K57" s="259"/>
      <x:c r="L57" s="259"/>
      <x:c r="M57" s="259"/>
      <x:c r="N57" s="259"/>
      <x:c r="O57" s="259"/>
      <x:c r="P57" s="262"/>
      <x:c r="Q57" s="259"/>
      <x:c r="R57" s="262"/>
      <x:c r="S57" s="262"/>
      <x:c r="T57" s="259"/>
    </x:row>
    <x:row r="58" ht="30" customHeight="1">
      <x:c r="A58" s="258" t="str">
        <x:v>C-054</x:v>
      </x:c>
      <x:c r="B58" s="260"/>
      <x:c r="C58" s="259"/>
      <x:c r="D58" s="259"/>
      <x:c r="E58" s="259"/>
      <x:c r="F58" s="259"/>
      <x:c r="G58" s="259"/>
      <x:c r="H58" s="259"/>
      <x:c r="I58" s="259"/>
      <x:c r="J58" s="259"/>
      <x:c r="K58" s="259"/>
      <x:c r="L58" s="259"/>
      <x:c r="M58" s="259"/>
      <x:c r="N58" s="259"/>
      <x:c r="O58" s="259"/>
      <x:c r="P58" s="262"/>
      <x:c r="Q58" s="259"/>
      <x:c r="R58" s="262"/>
      <x:c r="S58" s="262"/>
      <x:c r="T58" s="259"/>
    </x:row>
    <x:row r="59" ht="30" customHeight="1">
      <x:c r="A59" s="258" t="str">
        <x:v>C-055</x:v>
      </x:c>
      <x:c r="B59" s="260"/>
      <x:c r="C59" s="259"/>
      <x:c r="D59" s="259"/>
      <x:c r="E59" s="259"/>
      <x:c r="F59" s="259"/>
      <x:c r="G59" s="259"/>
      <x:c r="H59" s="259"/>
      <x:c r="I59" s="259"/>
      <x:c r="J59" s="259"/>
      <x:c r="K59" s="259"/>
      <x:c r="L59" s="259"/>
      <x:c r="M59" s="259"/>
      <x:c r="N59" s="259"/>
      <x:c r="O59" s="259"/>
      <x:c r="P59" s="262"/>
      <x:c r="Q59" s="259"/>
      <x:c r="R59" s="262"/>
      <x:c r="S59" s="262"/>
      <x:c r="T59" s="259"/>
    </x:row>
    <x:row r="60" ht="30" customHeight="1">
      <x:c r="A60" s="258" t="str">
        <x:v>C-056</x:v>
      </x:c>
      <x:c r="B60" s="260"/>
      <x:c r="C60" s="259"/>
      <x:c r="D60" s="259"/>
      <x:c r="E60" s="259"/>
      <x:c r="F60" s="259"/>
      <x:c r="G60" s="259"/>
      <x:c r="H60" s="259"/>
      <x:c r="I60" s="259"/>
      <x:c r="J60" s="259"/>
      <x:c r="K60" s="259"/>
      <x:c r="L60" s="259"/>
      <x:c r="M60" s="259"/>
      <x:c r="N60" s="259"/>
      <x:c r="O60" s="259"/>
      <x:c r="P60" s="262"/>
      <x:c r="Q60" s="259"/>
      <x:c r="R60" s="262"/>
      <x:c r="S60" s="262"/>
      <x:c r="T60" s="259"/>
    </x:row>
    <x:row r="61" ht="30" customHeight="1">
      <x:c r="A61" s="258" t="str">
        <x:v>C-057</x:v>
      </x:c>
      <x:c r="B61" s="260"/>
      <x:c r="C61" s="259"/>
      <x:c r="D61" s="259"/>
      <x:c r="E61" s="259"/>
      <x:c r="F61" s="259"/>
      <x:c r="G61" s="259"/>
      <x:c r="H61" s="259"/>
      <x:c r="I61" s="259"/>
      <x:c r="J61" s="259"/>
      <x:c r="K61" s="259"/>
      <x:c r="L61" s="259"/>
      <x:c r="M61" s="259"/>
      <x:c r="N61" s="259"/>
      <x:c r="O61" s="259"/>
      <x:c r="P61" s="262"/>
      <x:c r="Q61" s="259"/>
      <x:c r="R61" s="262"/>
      <x:c r="S61" s="262"/>
      <x:c r="T61" s="259"/>
    </x:row>
    <x:row r="62" ht="30" customHeight="1">
      <x:c r="A62" s="258" t="str">
        <x:v>C-058</x:v>
      </x:c>
      <x:c r="B62" s="260"/>
      <x:c r="C62" s="259"/>
      <x:c r="D62" s="259"/>
      <x:c r="E62" s="259"/>
      <x:c r="F62" s="259"/>
      <x:c r="G62" s="259"/>
      <x:c r="H62" s="259"/>
      <x:c r="I62" s="259"/>
      <x:c r="J62" s="259"/>
      <x:c r="K62" s="259"/>
      <x:c r="L62" s="259"/>
      <x:c r="M62" s="259"/>
      <x:c r="N62" s="259"/>
      <x:c r="O62" s="259"/>
      <x:c r="P62" s="262"/>
      <x:c r="Q62" s="259"/>
      <x:c r="R62" s="262"/>
      <x:c r="S62" s="262"/>
      <x:c r="T62" s="259"/>
    </x:row>
    <x:row r="63" ht="30" customHeight="1">
      <x:c r="A63" s="258" t="str">
        <x:v>C-059</x:v>
      </x:c>
      <x:c r="B63" s="260"/>
      <x:c r="C63" s="259"/>
      <x:c r="D63" s="259"/>
      <x:c r="E63" s="259"/>
      <x:c r="F63" s="259"/>
      <x:c r="G63" s="259"/>
      <x:c r="H63" s="259"/>
      <x:c r="I63" s="259"/>
      <x:c r="J63" s="259"/>
      <x:c r="K63" s="259"/>
      <x:c r="L63" s="259"/>
      <x:c r="M63" s="259"/>
      <x:c r="N63" s="259"/>
      <x:c r="O63" s="259"/>
      <x:c r="P63" s="262"/>
      <x:c r="Q63" s="259"/>
      <x:c r="R63" s="262"/>
      <x:c r="S63" s="262"/>
      <x:c r="T63" s="259"/>
    </x:row>
    <x:row r="64" ht="30" customHeight="1">
      <x:c r="A64" s="258" t="str">
        <x:v>C-060</x:v>
      </x:c>
      <x:c r="B64" s="260"/>
      <x:c r="C64" s="259"/>
      <x:c r="D64" s="259"/>
      <x:c r="E64" s="259"/>
      <x:c r="F64" s="259"/>
      <x:c r="G64" s="259"/>
      <x:c r="H64" s="259"/>
      <x:c r="I64" s="259"/>
      <x:c r="J64" s="259"/>
      <x:c r="K64" s="259"/>
      <x:c r="L64" s="259"/>
      <x:c r="M64" s="259"/>
      <x:c r="N64" s="259"/>
      <x:c r="O64" s="259"/>
      <x:c r="P64" s="262"/>
      <x:c r="Q64" s="259"/>
      <x:c r="R64" s="262"/>
      <x:c r="S64" s="262"/>
      <x:c r="T64" s="259"/>
    </x:row>
    <x:row r="65" ht="30" customHeight="1">
      <x:c r="A65" s="258" t="str">
        <x:v>C-061</x:v>
      </x:c>
      <x:c r="B65" s="260"/>
      <x:c r="C65" s="259"/>
      <x:c r="D65" s="259"/>
      <x:c r="E65" s="259"/>
      <x:c r="F65" s="259"/>
      <x:c r="G65" s="259"/>
      <x:c r="H65" s="259"/>
      <x:c r="I65" s="259"/>
      <x:c r="J65" s="259"/>
      <x:c r="K65" s="259"/>
      <x:c r="L65" s="259"/>
      <x:c r="M65" s="259"/>
      <x:c r="N65" s="259"/>
      <x:c r="O65" s="259"/>
      <x:c r="P65" s="262"/>
      <x:c r="Q65" s="259"/>
      <x:c r="R65" s="262"/>
      <x:c r="S65" s="262"/>
      <x:c r="T65" s="259"/>
    </x:row>
    <x:row r="66" ht="30" customHeight="1">
      <x:c r="A66" s="258" t="str">
        <x:v>C-062</x:v>
      </x:c>
      <x:c r="B66" s="260"/>
      <x:c r="C66" s="259"/>
      <x:c r="D66" s="259"/>
      <x:c r="E66" s="259"/>
      <x:c r="F66" s="259"/>
      <x:c r="G66" s="259"/>
      <x:c r="H66" s="259"/>
      <x:c r="I66" s="259"/>
      <x:c r="J66" s="259"/>
      <x:c r="K66" s="259"/>
      <x:c r="L66" s="259"/>
      <x:c r="M66" s="259"/>
      <x:c r="N66" s="259"/>
      <x:c r="O66" s="259"/>
      <x:c r="P66" s="262"/>
      <x:c r="Q66" s="259"/>
      <x:c r="R66" s="262"/>
      <x:c r="S66" s="262"/>
      <x:c r="T66" s="259"/>
    </x:row>
    <x:row r="67" ht="30" customHeight="1">
      <x:c r="A67" s="258" t="str">
        <x:v>C-063</x:v>
      </x:c>
      <x:c r="B67" s="260"/>
      <x:c r="C67" s="259"/>
      <x:c r="D67" s="259"/>
      <x:c r="E67" s="259"/>
      <x:c r="F67" s="259"/>
      <x:c r="G67" s="259"/>
      <x:c r="H67" s="259"/>
      <x:c r="I67" s="259"/>
      <x:c r="J67" s="259"/>
      <x:c r="K67" s="259"/>
      <x:c r="L67" s="259"/>
      <x:c r="M67" s="259"/>
      <x:c r="N67" s="259"/>
      <x:c r="O67" s="259"/>
      <x:c r="P67" s="262"/>
      <x:c r="Q67" s="259"/>
      <x:c r="R67" s="262"/>
      <x:c r="S67" s="262"/>
      <x:c r="T67" s="259"/>
    </x:row>
    <x:row r="68" ht="30" customHeight="1">
      <x:c r="A68" s="258" t="str">
        <x:v>C-064</x:v>
      </x:c>
      <x:c r="B68" s="260"/>
      <x:c r="C68" s="259"/>
      <x:c r="D68" s="259"/>
      <x:c r="E68" s="259"/>
      <x:c r="F68" s="259"/>
      <x:c r="G68" s="259"/>
      <x:c r="H68" s="259"/>
      <x:c r="I68" s="259"/>
      <x:c r="J68" s="259"/>
      <x:c r="K68" s="259"/>
      <x:c r="L68" s="259"/>
      <x:c r="M68" s="259"/>
      <x:c r="N68" s="259"/>
      <x:c r="O68" s="259"/>
      <x:c r="P68" s="262"/>
      <x:c r="Q68" s="259"/>
      <x:c r="R68" s="262"/>
      <x:c r="S68" s="262"/>
      <x:c r="T68" s="259"/>
    </x:row>
    <x:row r="69" ht="30" customHeight="1">
      <x:c r="A69" s="258" t="str">
        <x:v>C-065</x:v>
      </x:c>
      <x:c r="B69" s="260"/>
      <x:c r="C69" s="259"/>
      <x:c r="D69" s="259"/>
      <x:c r="E69" s="259"/>
      <x:c r="F69" s="259"/>
      <x:c r="G69" s="259"/>
      <x:c r="H69" s="259"/>
      <x:c r="I69" s="259"/>
      <x:c r="J69" s="259"/>
      <x:c r="K69" s="259"/>
      <x:c r="L69" s="259"/>
      <x:c r="M69" s="259"/>
      <x:c r="N69" s="259"/>
      <x:c r="O69" s="259"/>
      <x:c r="P69" s="262"/>
      <x:c r="Q69" s="259"/>
      <x:c r="R69" s="262"/>
      <x:c r="S69" s="262"/>
      <x:c r="T69" s="259"/>
    </x:row>
    <x:row r="70" ht="30" customHeight="1">
      <x:c r="A70" s="258" t="str">
        <x:v>C-066</x:v>
      </x:c>
      <x:c r="B70" s="260"/>
      <x:c r="C70" s="259"/>
      <x:c r="D70" s="259"/>
      <x:c r="E70" s="259"/>
      <x:c r="F70" s="259"/>
      <x:c r="G70" s="259"/>
      <x:c r="H70" s="259"/>
      <x:c r="I70" s="259"/>
      <x:c r="J70" s="259"/>
      <x:c r="K70" s="259"/>
      <x:c r="L70" s="259"/>
      <x:c r="M70" s="259"/>
      <x:c r="N70" s="259"/>
      <x:c r="O70" s="259"/>
      <x:c r="P70" s="262"/>
      <x:c r="Q70" s="259"/>
      <x:c r="R70" s="262"/>
      <x:c r="S70" s="262"/>
      <x:c r="T70" s="259"/>
    </x:row>
    <x:row r="71" ht="30" customHeight="1">
      <x:c r="A71" s="258" t="str">
        <x:v>C-067</x:v>
      </x:c>
      <x:c r="B71" s="260"/>
      <x:c r="C71" s="259"/>
      <x:c r="D71" s="259"/>
      <x:c r="E71" s="259"/>
      <x:c r="F71" s="259"/>
      <x:c r="G71" s="259"/>
      <x:c r="H71" s="259"/>
      <x:c r="I71" s="259"/>
      <x:c r="J71" s="259"/>
      <x:c r="K71" s="259"/>
      <x:c r="L71" s="259"/>
      <x:c r="M71" s="259"/>
      <x:c r="N71" s="259"/>
      <x:c r="O71" s="259"/>
      <x:c r="P71" s="262"/>
      <x:c r="Q71" s="259"/>
      <x:c r="R71" s="262"/>
      <x:c r="S71" s="262"/>
      <x:c r="T71" s="259"/>
    </x:row>
    <x:row r="72" ht="30" customHeight="1">
      <x:c r="A72" s="258" t="str">
        <x:v>C-068</x:v>
      </x:c>
      <x:c r="B72" s="260"/>
      <x:c r="C72" s="259"/>
      <x:c r="D72" s="259"/>
      <x:c r="E72" s="259"/>
      <x:c r="F72" s="259"/>
      <x:c r="G72" s="259"/>
      <x:c r="H72" s="259"/>
      <x:c r="I72" s="259"/>
      <x:c r="J72" s="259"/>
      <x:c r="K72" s="259"/>
      <x:c r="L72" s="259"/>
      <x:c r="M72" s="259"/>
      <x:c r="N72" s="259"/>
      <x:c r="O72" s="259"/>
      <x:c r="P72" s="262"/>
      <x:c r="Q72" s="259"/>
      <x:c r="R72" s="262"/>
      <x:c r="S72" s="262"/>
      <x:c r="T72" s="259"/>
    </x:row>
    <x:row r="73" ht="30" customHeight="1">
      <x:c r="A73" s="258" t="str">
        <x:v>C-069</x:v>
      </x:c>
      <x:c r="B73" s="260"/>
      <x:c r="C73" s="259"/>
      <x:c r="D73" s="259"/>
      <x:c r="E73" s="259"/>
      <x:c r="F73" s="259"/>
      <x:c r="G73" s="259"/>
      <x:c r="H73" s="259"/>
      <x:c r="I73" s="259"/>
      <x:c r="J73" s="259"/>
      <x:c r="K73" s="259"/>
      <x:c r="L73" s="259"/>
      <x:c r="M73" s="259"/>
      <x:c r="N73" s="259"/>
      <x:c r="O73" s="259"/>
      <x:c r="P73" s="262"/>
      <x:c r="Q73" s="259"/>
      <x:c r="R73" s="262"/>
      <x:c r="S73" s="262"/>
      <x:c r="T73" s="259"/>
    </x:row>
    <x:row r="74" ht="30" customHeight="1">
      <x:c r="A74" s="258" t="str">
        <x:v>C-070</x:v>
      </x:c>
      <x:c r="B74" s="260"/>
      <x:c r="C74" s="259"/>
      <x:c r="D74" s="259"/>
      <x:c r="E74" s="259"/>
      <x:c r="F74" s="259"/>
      <x:c r="G74" s="259"/>
      <x:c r="H74" s="259"/>
      <x:c r="I74" s="259"/>
      <x:c r="J74" s="259"/>
      <x:c r="K74" s="259"/>
      <x:c r="L74" s="259"/>
      <x:c r="M74" s="259"/>
      <x:c r="N74" s="259"/>
      <x:c r="O74" s="259"/>
      <x:c r="P74" s="262"/>
      <x:c r="Q74" s="259"/>
      <x:c r="R74" s="262"/>
      <x:c r="S74" s="262"/>
      <x:c r="T74" s="259"/>
    </x:row>
    <x:row r="75" ht="30" customHeight="1">
      <x:c r="A75" s="258" t="str">
        <x:v>C-071</x:v>
      </x:c>
      <x:c r="B75" s="260"/>
      <x:c r="C75" s="259"/>
      <x:c r="D75" s="259"/>
      <x:c r="E75" s="259"/>
      <x:c r="F75" s="259"/>
      <x:c r="G75" s="259"/>
      <x:c r="H75" s="259"/>
      <x:c r="I75" s="259"/>
      <x:c r="J75" s="259"/>
      <x:c r="K75" s="259"/>
      <x:c r="L75" s="259"/>
      <x:c r="M75" s="259"/>
      <x:c r="N75" s="259"/>
      <x:c r="O75" s="259"/>
      <x:c r="P75" s="262"/>
      <x:c r="Q75" s="259"/>
      <x:c r="R75" s="262"/>
      <x:c r="S75" s="262"/>
      <x:c r="T75" s="259"/>
    </x:row>
    <x:row r="76" ht="30" customHeight="1">
      <x:c r="A76" s="258" t="str">
        <x:v>C-072</x:v>
      </x:c>
      <x:c r="B76" s="260"/>
      <x:c r="C76" s="259"/>
      <x:c r="D76" s="259"/>
      <x:c r="E76" s="259"/>
      <x:c r="F76" s="259"/>
      <x:c r="G76" s="259"/>
      <x:c r="H76" s="259"/>
      <x:c r="I76" s="259"/>
      <x:c r="J76" s="259"/>
      <x:c r="K76" s="259"/>
      <x:c r="L76" s="259"/>
      <x:c r="M76" s="259"/>
      <x:c r="N76" s="259"/>
      <x:c r="O76" s="259"/>
      <x:c r="P76" s="262"/>
      <x:c r="Q76" s="259"/>
      <x:c r="R76" s="262"/>
      <x:c r="S76" s="262"/>
      <x:c r="T76" s="259"/>
    </x:row>
    <x:row r="77" ht="30" customHeight="1">
      <x:c r="A77" s="258" t="str">
        <x:v>C-073</x:v>
      </x:c>
      <x:c r="B77" s="260"/>
      <x:c r="C77" s="259"/>
      <x:c r="D77" s="259"/>
      <x:c r="E77" s="259"/>
      <x:c r="F77" s="259"/>
      <x:c r="G77" s="259"/>
      <x:c r="H77" s="259"/>
      <x:c r="I77" s="259"/>
      <x:c r="J77" s="259"/>
      <x:c r="K77" s="259"/>
      <x:c r="L77" s="259"/>
      <x:c r="M77" s="259"/>
      <x:c r="N77" s="259"/>
      <x:c r="O77" s="259"/>
      <x:c r="P77" s="262"/>
      <x:c r="Q77" s="259"/>
      <x:c r="R77" s="262"/>
      <x:c r="S77" s="262"/>
      <x:c r="T77" s="259"/>
    </x:row>
    <x:row r="78" ht="30" customHeight="1">
      <x:c r="A78" s="258" t="str">
        <x:v>C-074</x:v>
      </x:c>
      <x:c r="B78" s="260"/>
      <x:c r="C78" s="259"/>
      <x:c r="D78" s="259"/>
      <x:c r="E78" s="259"/>
      <x:c r="F78" s="259"/>
      <x:c r="G78" s="259"/>
      <x:c r="H78" s="259"/>
      <x:c r="I78" s="259"/>
      <x:c r="J78" s="259"/>
      <x:c r="K78" s="259"/>
      <x:c r="L78" s="259"/>
      <x:c r="M78" s="259"/>
      <x:c r="N78" s="259"/>
      <x:c r="O78" s="259"/>
      <x:c r="P78" s="262"/>
      <x:c r="Q78" s="259"/>
      <x:c r="R78" s="262"/>
      <x:c r="S78" s="262"/>
      <x:c r="T78" s="259"/>
    </x:row>
    <x:row r="79" ht="30" customHeight="1">
      <x:c r="A79" s="258" t="str">
        <x:v>C-075</x:v>
      </x:c>
      <x:c r="B79" s="260"/>
      <x:c r="C79" s="259"/>
      <x:c r="D79" s="259"/>
      <x:c r="E79" s="259"/>
      <x:c r="F79" s="259"/>
      <x:c r="G79" s="259"/>
      <x:c r="H79" s="259"/>
      <x:c r="I79" s="259"/>
      <x:c r="J79" s="259"/>
      <x:c r="K79" s="259"/>
      <x:c r="L79" s="259"/>
      <x:c r="M79" s="259"/>
      <x:c r="N79" s="259"/>
      <x:c r="O79" s="259"/>
      <x:c r="P79" s="262"/>
      <x:c r="Q79" s="259"/>
      <x:c r="R79" s="262"/>
      <x:c r="S79" s="262"/>
      <x:c r="T79" s="259"/>
    </x:row>
    <x:row r="80" ht="30" customHeight="1">
      <x:c r="A80" s="258" t="str">
        <x:v>C-076</x:v>
      </x:c>
      <x:c r="B80" s="260"/>
      <x:c r="C80" s="259"/>
      <x:c r="D80" s="259"/>
      <x:c r="E80" s="259"/>
      <x:c r="F80" s="259"/>
      <x:c r="G80" s="259"/>
      <x:c r="H80" s="259"/>
      <x:c r="I80" s="259"/>
      <x:c r="J80" s="259"/>
      <x:c r="K80" s="259"/>
      <x:c r="L80" s="259"/>
      <x:c r="M80" s="259"/>
      <x:c r="N80" s="259"/>
      <x:c r="O80" s="259"/>
      <x:c r="P80" s="262"/>
      <x:c r="Q80" s="259"/>
      <x:c r="R80" s="262"/>
      <x:c r="S80" s="262"/>
      <x:c r="T80" s="259"/>
    </x:row>
    <x:row r="81" ht="30" customHeight="1">
      <x:c r="A81" s="258" t="str">
        <x:v>C-077</x:v>
      </x:c>
      <x:c r="B81" s="260"/>
      <x:c r="C81" s="259"/>
      <x:c r="D81" s="259"/>
      <x:c r="E81" s="259"/>
      <x:c r="F81" s="259"/>
      <x:c r="G81" s="259"/>
      <x:c r="H81" s="259"/>
      <x:c r="I81" s="259"/>
      <x:c r="J81" s="259"/>
      <x:c r="K81" s="259"/>
      <x:c r="L81" s="259"/>
      <x:c r="M81" s="259"/>
      <x:c r="N81" s="259"/>
      <x:c r="O81" s="259"/>
      <x:c r="P81" s="262"/>
      <x:c r="Q81" s="259"/>
      <x:c r="R81" s="262"/>
      <x:c r="S81" s="262"/>
      <x:c r="T81" s="259"/>
    </x:row>
    <x:row r="82" ht="30" customHeight="1">
      <x:c r="A82" s="258" t="str">
        <x:v>C-078</x:v>
      </x:c>
      <x:c r="B82" s="260"/>
      <x:c r="C82" s="259"/>
      <x:c r="D82" s="259"/>
      <x:c r="E82" s="259"/>
      <x:c r="F82" s="259"/>
      <x:c r="G82" s="259"/>
      <x:c r="H82" s="259"/>
      <x:c r="I82" s="259"/>
      <x:c r="J82" s="259"/>
      <x:c r="K82" s="259"/>
      <x:c r="L82" s="259"/>
      <x:c r="M82" s="259"/>
      <x:c r="N82" s="259"/>
      <x:c r="O82" s="259"/>
      <x:c r="P82" s="262"/>
      <x:c r="Q82" s="259"/>
      <x:c r="R82" s="262"/>
      <x:c r="S82" s="262"/>
      <x:c r="T82" s="259"/>
    </x:row>
    <x:row r="83" ht="30" customHeight="1">
      <x:c r="A83" s="258" t="str">
        <x:v>C-079</x:v>
      </x:c>
      <x:c r="B83" s="260"/>
      <x:c r="C83" s="259"/>
      <x:c r="D83" s="259"/>
      <x:c r="E83" s="259"/>
      <x:c r="F83" s="259"/>
      <x:c r="G83" s="259"/>
      <x:c r="H83" s="259"/>
      <x:c r="I83" s="259"/>
      <x:c r="J83" s="259"/>
      <x:c r="K83" s="259"/>
      <x:c r="L83" s="259"/>
      <x:c r="M83" s="259"/>
      <x:c r="N83" s="259"/>
      <x:c r="O83" s="259"/>
      <x:c r="P83" s="262"/>
      <x:c r="Q83" s="259"/>
      <x:c r="R83" s="262"/>
      <x:c r="S83" s="262"/>
      <x:c r="T83" s="259"/>
    </x:row>
    <x:row r="84" ht="30" customHeight="1">
      <x:c r="A84" s="258" t="str">
        <x:v>C-080</x:v>
      </x:c>
      <x:c r="B84" s="260"/>
      <x:c r="C84" s="259"/>
      <x:c r="D84" s="259"/>
      <x:c r="E84" s="259"/>
      <x:c r="F84" s="259"/>
      <x:c r="G84" s="259"/>
      <x:c r="H84" s="259"/>
      <x:c r="I84" s="259"/>
      <x:c r="J84" s="259"/>
      <x:c r="K84" s="259"/>
      <x:c r="L84" s="259"/>
      <x:c r="M84" s="259"/>
      <x:c r="N84" s="259"/>
      <x:c r="O84" s="259"/>
      <x:c r="P84" s="262"/>
      <x:c r="Q84" s="259"/>
      <x:c r="R84" s="262"/>
      <x:c r="S84" s="262"/>
      <x:c r="T84" s="259"/>
    </x:row>
    <x:row r="85" ht="30" customHeight="1">
      <x:c r="A85" s="258" t="str">
        <x:v>C-081</x:v>
      </x:c>
      <x:c r="B85" s="260"/>
      <x:c r="C85" s="259"/>
      <x:c r="D85" s="259"/>
      <x:c r="E85" s="259"/>
      <x:c r="F85" s="259"/>
      <x:c r="G85" s="259"/>
      <x:c r="H85" s="259"/>
      <x:c r="I85" s="259"/>
      <x:c r="J85" s="259"/>
      <x:c r="K85" s="259"/>
      <x:c r="L85" s="259"/>
      <x:c r="M85" s="259"/>
      <x:c r="N85" s="259"/>
      <x:c r="O85" s="259"/>
      <x:c r="P85" s="262"/>
      <x:c r="Q85" s="259"/>
      <x:c r="R85" s="262"/>
      <x:c r="S85" s="262"/>
      <x:c r="T85" s="259"/>
    </x:row>
    <x:row r="86" ht="30" customHeight="1">
      <x:c r="A86" s="258" t="str">
        <x:v>C-082</x:v>
      </x:c>
      <x:c r="B86" s="260"/>
      <x:c r="C86" s="259"/>
      <x:c r="D86" s="259"/>
      <x:c r="E86" s="259"/>
      <x:c r="F86" s="259"/>
      <x:c r="G86" s="259"/>
      <x:c r="H86" s="259"/>
      <x:c r="I86" s="259"/>
      <x:c r="J86" s="259"/>
      <x:c r="K86" s="259"/>
      <x:c r="L86" s="259"/>
      <x:c r="M86" s="259"/>
      <x:c r="N86" s="259"/>
      <x:c r="O86" s="259"/>
      <x:c r="P86" s="262"/>
      <x:c r="Q86" s="259"/>
      <x:c r="R86" s="262"/>
      <x:c r="S86" s="262"/>
      <x:c r="T86" s="259"/>
    </x:row>
    <x:row r="87" ht="30" customHeight="1">
      <x:c r="A87" s="258" t="str">
        <x:v>C-083</x:v>
      </x:c>
      <x:c r="B87" s="260"/>
      <x:c r="C87" s="259"/>
      <x:c r="D87" s="259"/>
      <x:c r="E87" s="259"/>
      <x:c r="F87" s="259"/>
      <x:c r="G87" s="259"/>
      <x:c r="H87" s="259"/>
      <x:c r="I87" s="259"/>
      <x:c r="J87" s="259"/>
      <x:c r="K87" s="259"/>
      <x:c r="L87" s="259"/>
      <x:c r="M87" s="259"/>
      <x:c r="N87" s="259"/>
      <x:c r="O87" s="259"/>
      <x:c r="P87" s="262"/>
      <x:c r="Q87" s="259"/>
      <x:c r="R87" s="262"/>
      <x:c r="S87" s="262"/>
      <x:c r="T87" s="259"/>
    </x:row>
    <x:row r="88" ht="30" customHeight="1">
      <x:c r="A88" s="258" t="str">
        <x:v>C-084</x:v>
      </x:c>
      <x:c r="B88" s="260"/>
      <x:c r="C88" s="259"/>
      <x:c r="D88" s="259"/>
      <x:c r="E88" s="259"/>
      <x:c r="F88" s="259"/>
      <x:c r="G88" s="259"/>
      <x:c r="H88" s="259"/>
      <x:c r="I88" s="259"/>
      <x:c r="J88" s="259"/>
      <x:c r="K88" s="259"/>
      <x:c r="L88" s="259"/>
      <x:c r="M88" s="259"/>
      <x:c r="N88" s="259"/>
      <x:c r="O88" s="259"/>
      <x:c r="P88" s="262"/>
      <x:c r="Q88" s="259"/>
      <x:c r="R88" s="262"/>
      <x:c r="S88" s="262"/>
      <x:c r="T88" s="259"/>
    </x:row>
    <x:row r="89" ht="30" customHeight="1">
      <x:c r="A89" s="258" t="str">
        <x:v>C-085</x:v>
      </x:c>
      <x:c r="B89" s="260"/>
      <x:c r="C89" s="259"/>
      <x:c r="D89" s="259"/>
      <x:c r="E89" s="259"/>
      <x:c r="F89" s="259"/>
      <x:c r="G89" s="259"/>
      <x:c r="H89" s="259"/>
      <x:c r="I89" s="259"/>
      <x:c r="J89" s="259"/>
      <x:c r="K89" s="259"/>
      <x:c r="L89" s="259"/>
      <x:c r="M89" s="259"/>
      <x:c r="N89" s="259"/>
      <x:c r="O89" s="259"/>
      <x:c r="P89" s="262"/>
      <x:c r="Q89" s="259"/>
      <x:c r="R89" s="262"/>
      <x:c r="S89" s="262"/>
      <x:c r="T89" s="259"/>
    </x:row>
    <x:row r="90" ht="30" customHeight="1">
      <x:c r="A90" s="258" t="str">
        <x:v>C-086</x:v>
      </x:c>
      <x:c r="B90" s="260"/>
      <x:c r="C90" s="259"/>
      <x:c r="D90" s="259"/>
      <x:c r="E90" s="259"/>
      <x:c r="F90" s="259"/>
      <x:c r="G90" s="259"/>
      <x:c r="H90" s="259"/>
      <x:c r="I90" s="259"/>
      <x:c r="J90" s="259"/>
      <x:c r="K90" s="259"/>
      <x:c r="L90" s="259"/>
      <x:c r="M90" s="259"/>
      <x:c r="N90" s="259"/>
      <x:c r="O90" s="259"/>
      <x:c r="P90" s="262"/>
      <x:c r="Q90" s="259"/>
      <x:c r="R90" s="262"/>
      <x:c r="S90" s="262"/>
      <x:c r="T90" s="259"/>
    </x:row>
    <x:row r="91" ht="30" customHeight="1">
      <x:c r="A91" s="258" t="str">
        <x:v>C-087</x:v>
      </x:c>
      <x:c r="B91" s="260"/>
      <x:c r="C91" s="259"/>
      <x:c r="D91" s="259"/>
      <x:c r="E91" s="259"/>
      <x:c r="F91" s="259"/>
      <x:c r="G91" s="259"/>
      <x:c r="H91" s="259"/>
      <x:c r="I91" s="259"/>
      <x:c r="J91" s="259"/>
      <x:c r="K91" s="259"/>
      <x:c r="L91" s="259"/>
      <x:c r="M91" s="259"/>
      <x:c r="N91" s="259"/>
      <x:c r="O91" s="259"/>
      <x:c r="P91" s="262"/>
      <x:c r="Q91" s="259"/>
      <x:c r="R91" s="262"/>
      <x:c r="S91" s="262"/>
      <x:c r="T91" s="259"/>
    </x:row>
    <x:row r="92" ht="30" customHeight="1">
      <x:c r="A92" s="258" t="str">
        <x:v>C-088</x:v>
      </x:c>
      <x:c r="B92" s="260"/>
      <x:c r="C92" s="259"/>
      <x:c r="D92" s="259"/>
      <x:c r="E92" s="259"/>
      <x:c r="F92" s="259"/>
      <x:c r="G92" s="259"/>
      <x:c r="H92" s="259"/>
      <x:c r="I92" s="259"/>
      <x:c r="J92" s="259"/>
      <x:c r="K92" s="259"/>
      <x:c r="L92" s="259"/>
      <x:c r="M92" s="259"/>
      <x:c r="N92" s="259"/>
      <x:c r="O92" s="259"/>
      <x:c r="P92" s="262"/>
      <x:c r="Q92" s="259"/>
      <x:c r="R92" s="262"/>
      <x:c r="S92" s="262"/>
      <x:c r="T92" s="259"/>
    </x:row>
    <x:row r="93" ht="30" customHeight="1">
      <x:c r="A93" s="258" t="str">
        <x:v>C-089</x:v>
      </x:c>
      <x:c r="B93" s="260"/>
      <x:c r="C93" s="259"/>
      <x:c r="D93" s="259"/>
      <x:c r="E93" s="259"/>
      <x:c r="F93" s="259"/>
      <x:c r="G93" s="259"/>
      <x:c r="H93" s="259"/>
      <x:c r="I93" s="259"/>
      <x:c r="J93" s="259"/>
      <x:c r="K93" s="259"/>
      <x:c r="L93" s="259"/>
      <x:c r="M93" s="259"/>
      <x:c r="N93" s="259"/>
      <x:c r="O93" s="259"/>
      <x:c r="P93" s="262"/>
      <x:c r="Q93" s="259"/>
      <x:c r="R93" s="262"/>
      <x:c r="S93" s="262"/>
      <x:c r="T93" s="259"/>
    </x:row>
    <x:row r="94" ht="30" customHeight="1">
      <x:c r="A94" s="258" t="str">
        <x:v>C-090</x:v>
      </x:c>
      <x:c r="B94" s="260"/>
      <x:c r="C94" s="259"/>
      <x:c r="D94" s="259"/>
      <x:c r="E94" s="259"/>
      <x:c r="F94" s="259"/>
      <x:c r="G94" s="259"/>
      <x:c r="H94" s="259"/>
      <x:c r="I94" s="259"/>
      <x:c r="J94" s="259"/>
      <x:c r="K94" s="259"/>
      <x:c r="L94" s="259"/>
      <x:c r="M94" s="259"/>
      <x:c r="N94" s="259"/>
      <x:c r="O94" s="259"/>
      <x:c r="P94" s="262"/>
      <x:c r="Q94" s="259"/>
      <x:c r="R94" s="262"/>
      <x:c r="S94" s="262"/>
      <x:c r="T94" s="259"/>
    </x:row>
    <x:row r="95" ht="30" customHeight="1">
      <x:c r="A95" s="258" t="str">
        <x:v>C-091</x:v>
      </x:c>
      <x:c r="B95" s="260"/>
      <x:c r="C95" s="259"/>
      <x:c r="D95" s="259"/>
      <x:c r="E95" s="259"/>
      <x:c r="F95" s="259"/>
      <x:c r="G95" s="259"/>
      <x:c r="H95" s="259"/>
      <x:c r="I95" s="259"/>
      <x:c r="J95" s="259"/>
      <x:c r="K95" s="259"/>
      <x:c r="L95" s="259"/>
      <x:c r="M95" s="259"/>
      <x:c r="N95" s="259"/>
      <x:c r="O95" s="259"/>
      <x:c r="P95" s="262"/>
      <x:c r="Q95" s="259"/>
      <x:c r="R95" s="262"/>
      <x:c r="S95" s="262"/>
      <x:c r="T95" s="259"/>
    </x:row>
    <x:row r="96" ht="30" customHeight="1">
      <x:c r="A96" s="258" t="str">
        <x:v>C-092</x:v>
      </x:c>
      <x:c r="B96" s="260"/>
      <x:c r="C96" s="259"/>
      <x:c r="D96" s="259"/>
      <x:c r="E96" s="259"/>
      <x:c r="F96" s="259"/>
      <x:c r="G96" s="259"/>
      <x:c r="H96" s="259"/>
      <x:c r="I96" s="259"/>
      <x:c r="J96" s="259"/>
      <x:c r="K96" s="259"/>
      <x:c r="L96" s="259"/>
      <x:c r="M96" s="259"/>
      <x:c r="N96" s="259"/>
      <x:c r="O96" s="259"/>
      <x:c r="P96" s="262"/>
      <x:c r="Q96" s="259"/>
      <x:c r="R96" s="262"/>
      <x:c r="S96" s="262"/>
      <x:c r="T96" s="259"/>
    </x:row>
    <x:row r="97" ht="30" customHeight="1">
      <x:c r="A97" s="258" t="str">
        <x:v>C-093</x:v>
      </x:c>
      <x:c r="B97" s="260"/>
      <x:c r="C97" s="259"/>
      <x:c r="D97" s="259"/>
      <x:c r="E97" s="259"/>
      <x:c r="F97" s="259"/>
      <x:c r="G97" s="259"/>
      <x:c r="H97" s="259"/>
      <x:c r="I97" s="259"/>
      <x:c r="J97" s="259"/>
      <x:c r="K97" s="259"/>
      <x:c r="L97" s="259"/>
      <x:c r="M97" s="259"/>
      <x:c r="N97" s="259"/>
      <x:c r="O97" s="259"/>
      <x:c r="P97" s="262"/>
      <x:c r="Q97" s="259"/>
      <x:c r="R97" s="262"/>
      <x:c r="S97" s="262"/>
      <x:c r="T97" s="259"/>
    </x:row>
    <x:row r="98" ht="30" customHeight="1">
      <x:c r="A98" s="258" t="str">
        <x:v>C-094</x:v>
      </x:c>
      <x:c r="B98" s="260"/>
      <x:c r="C98" s="259"/>
      <x:c r="D98" s="259"/>
      <x:c r="E98" s="259"/>
      <x:c r="F98" s="259"/>
      <x:c r="G98" s="259"/>
      <x:c r="H98" s="259"/>
      <x:c r="I98" s="259"/>
      <x:c r="J98" s="259"/>
      <x:c r="K98" s="259"/>
      <x:c r="L98" s="259"/>
      <x:c r="M98" s="259"/>
      <x:c r="N98" s="259"/>
      <x:c r="O98" s="259"/>
      <x:c r="P98" s="262"/>
      <x:c r="Q98" s="259"/>
      <x:c r="R98" s="262"/>
      <x:c r="S98" s="262"/>
      <x:c r="T98" s="259"/>
    </x:row>
    <x:row r="99" ht="30" customHeight="1">
      <x:c r="A99" s="258" t="str">
        <x:v>C-095</x:v>
      </x:c>
      <x:c r="B99" s="260"/>
      <x:c r="C99" s="259"/>
      <x:c r="D99" s="259"/>
      <x:c r="E99" s="259"/>
      <x:c r="F99" s="259"/>
      <x:c r="G99" s="259"/>
      <x:c r="H99" s="259"/>
      <x:c r="I99" s="259"/>
      <x:c r="J99" s="259"/>
      <x:c r="K99" s="259"/>
      <x:c r="L99" s="259"/>
      <x:c r="M99" s="259"/>
      <x:c r="N99" s="259"/>
      <x:c r="O99" s="259"/>
      <x:c r="P99" s="262"/>
      <x:c r="Q99" s="259"/>
      <x:c r="R99" s="262"/>
      <x:c r="S99" s="262"/>
      <x:c r="T99" s="259"/>
    </x:row>
    <x:row r="100" ht="30" customHeight="1">
      <x:c r="A100" s="258" t="str">
        <x:v>C-096</x:v>
      </x:c>
      <x:c r="B100" s="260"/>
      <x:c r="C100" s="259"/>
      <x:c r="D100" s="259"/>
      <x:c r="E100" s="259"/>
      <x:c r="F100" s="259"/>
      <x:c r="G100" s="259"/>
      <x:c r="H100" s="259"/>
      <x:c r="I100" s="259"/>
      <x:c r="J100" s="259"/>
      <x:c r="K100" s="259"/>
      <x:c r="L100" s="259"/>
      <x:c r="M100" s="259"/>
      <x:c r="N100" s="259"/>
      <x:c r="O100" s="259"/>
      <x:c r="P100" s="262"/>
      <x:c r="Q100" s="259"/>
      <x:c r="R100" s="262"/>
      <x:c r="S100" s="262"/>
      <x:c r="T100" s="259"/>
    </x:row>
    <x:row r="101" ht="30" customHeight="1">
      <x:c r="A101" s="258" t="str">
        <x:v>C-097</x:v>
      </x:c>
      <x:c r="B101" s="260"/>
      <x:c r="C101" s="259"/>
      <x:c r="D101" s="259"/>
      <x:c r="E101" s="259"/>
      <x:c r="F101" s="259"/>
      <x:c r="G101" s="259"/>
      <x:c r="H101" s="259"/>
      <x:c r="I101" s="259"/>
      <x:c r="J101" s="259"/>
      <x:c r="K101" s="259"/>
      <x:c r="L101" s="259"/>
      <x:c r="M101" s="259"/>
      <x:c r="N101" s="259"/>
      <x:c r="O101" s="259"/>
      <x:c r="P101" s="262"/>
      <x:c r="Q101" s="259"/>
      <x:c r="R101" s="262"/>
      <x:c r="S101" s="262"/>
      <x:c r="T101" s="259"/>
    </x:row>
    <x:row r="102" ht="30" customHeight="1">
      <x:c r="A102" s="258" t="str">
        <x:v>C-098</x:v>
      </x:c>
      <x:c r="B102" s="260"/>
      <x:c r="C102" s="259"/>
      <x:c r="D102" s="259"/>
      <x:c r="E102" s="259"/>
      <x:c r="F102" s="259"/>
      <x:c r="G102" s="259"/>
      <x:c r="H102" s="259"/>
      <x:c r="I102" s="259"/>
      <x:c r="J102" s="259"/>
      <x:c r="K102" s="259"/>
      <x:c r="L102" s="259"/>
      <x:c r="M102" s="259"/>
      <x:c r="N102" s="259"/>
      <x:c r="O102" s="259"/>
      <x:c r="P102" s="262"/>
      <x:c r="Q102" s="259"/>
      <x:c r="R102" s="262"/>
      <x:c r="S102" s="262"/>
      <x:c r="T102" s="259"/>
    </x:row>
    <x:row r="103" ht="30" customHeight="1">
      <x:c r="A103" s="258" t="str">
        <x:v>C-099</x:v>
      </x:c>
      <x:c r="B103" s="260"/>
      <x:c r="C103" s="259"/>
      <x:c r="D103" s="259"/>
      <x:c r="E103" s="259"/>
      <x:c r="F103" s="259"/>
      <x:c r="G103" s="259"/>
      <x:c r="H103" s="259"/>
      <x:c r="I103" s="259"/>
      <x:c r="J103" s="259"/>
      <x:c r="K103" s="259"/>
      <x:c r="L103" s="259"/>
      <x:c r="M103" s="259"/>
      <x:c r="N103" s="259"/>
      <x:c r="O103" s="259"/>
      <x:c r="P103" s="262"/>
      <x:c r="Q103" s="259"/>
      <x:c r="R103" s="262"/>
      <x:c r="S103" s="262"/>
      <x:c r="T103" s="259"/>
    </x:row>
    <x:row r="104" ht="30" customHeight="1">
      <x:c r="A104" s="258" t="str">
        <x:v>C-100</x:v>
      </x:c>
      <x:c r="B104" s="260"/>
      <x:c r="C104" s="259"/>
      <x:c r="D104" s="259"/>
      <x:c r="E104" s="259"/>
      <x:c r="F104" s="259"/>
      <x:c r="G104" s="259"/>
      <x:c r="H104" s="259"/>
      <x:c r="I104" s="259"/>
      <x:c r="J104" s="259"/>
      <x:c r="K104" s="259"/>
      <x:c r="L104" s="259"/>
      <x:c r="M104" s="259"/>
      <x:c r="N104" s="259"/>
      <x:c r="O104" s="259"/>
      <x:c r="P104" s="262"/>
      <x:c r="Q104" s="259"/>
      <x:c r="R104" s="262"/>
      <x:c r="S104" s="262"/>
      <x:c r="T104" s="259"/>
    </x:row>
  </x:sheetData>
  <x:mergeCells>
    <x:mergeCell ref="A1:T1"/>
    <x:mergeCell ref="A2:T2"/>
    <x:mergeCell ref="A3:T3"/>
  </x:mergeCells>
  <x:dataValidations count="7">
    <x:dataValidation type="list" sqref="D5:D104">
      <x:formula1>"Long,Bearish,Undecided"</x:formula1>
    </x:dataValidation>
    <x:dataValidation type="list" sqref="E5:E104">
      <x:formula1>"Robinhood Social,Simply Wall St,Tickeron,Moomoo,Own Research,Other"</x:formula1>
    </x:dataValidation>
    <x:dataValidation type="list" sqref="G5:G104">
      <x:formula1>"Social Post,Email,Investing Ideas,Healthcare / Biotech Bot,Ticker Alerts,AI Trend Prediction,AI Patterns,AI News Alert,Fundamental Engine,Options Engine,Technical Engine,Other"</x:formula1>
    </x:dataValidation>
    <x:dataValidation type="list" sqref="K5:K104">
      <x:formula1>"Support Bounce,Support Reclaim,Breakout,Pullback in Uptrend,Momentum Continuation,Oversold Reversal,Overbought Reversal,Tickeron Signal-Following,Other,Not Yet Defined"</x:formula1>
    </x:dataValidation>
    <x:dataValidation type="list" sqref="L5:L104">
      <x:formula1>"Favorable,Mixed,Unfavorable,Not Reviewed"</x:formula1>
    </x:dataValidation>
    <x:dataValidation type="list" sqref="M5:M104">
      <x:formula1>"Supportive,No Effect,Concern,Veto,Not Reviewed"</x:formula1>
    </x:dataValidation>
    <x:dataValidation type="list" sqref="N5:N104">
      <x:formula1>"Taken - Within Range,Watchlist,Rejected - Technical,Rejected - Analyst Ratings,Rejected - Risk/Reward,Missed - Late / Out of Range,Skipped - Risk Capacity,Skipped - Operational,Discretionary Skip,Canceled"</x:formula1>
    </x:dataValidation>
  </x:dataValidations>
  <x:pageMargins left="0.7" right="0.7" top="0.75" bottom="0.75" header="0.3" footer="0.3"/>
  <x:tableParts count="1">
    <x:tablePart xmlns:r="http://schemas.openxmlformats.org/officeDocument/2006/relationships" r:id="R801d30df10364b33"/>
  </x:tableParts>
</x:worksheet>
</file>

<file path=xl/worksheets/sheet4.xml><?xml version="1.0" encoding="utf-8"?>
<x:worksheet xmlns:x="http://schemas.openxmlformats.org/spreadsheetml/2006/main">
  <x:sheetFormatPr defaultRowHeight="15"/>
  <x:cols>
    <x:col min="1" max="1" width="24" hidden="0" customWidth="1"/>
    <x:col min="2" max="2" width="18" hidden="0" customWidth="1"/>
    <x:col min="3" max="3" width="16" hidden="0" customWidth="1"/>
    <x:col min="4" max="4" width="14" hidden="0" customWidth="1"/>
    <x:col min="5" max="5" width="14" hidden="0" customWidth="1"/>
    <x:col min="6" max="6" width="18" hidden="0" customWidth="1"/>
    <x:col min="7" max="7" width="18" hidden="0" customWidth="1"/>
    <x:col min="8" max="8" width="3" hidden="0" customWidth="1"/>
    <x:col min="9" max="9" width="24" hidden="0" customWidth="1"/>
    <x:col min="10" max="10" width="18" hidden="0" customWidth="1"/>
    <x:col min="11" max="11" width="16" hidden="0" customWidth="1"/>
    <x:col min="12" max="12" width="14" hidden="0" customWidth="1"/>
    <x:col min="13" max="13" width="14" hidden="0" customWidth="1"/>
    <x:col min="14" max="14" width="14" hidden="0" customWidth="1"/>
    <x:col min="15" max="15" width="18" hidden="0" customWidth="1"/>
  </x:cols>
  <x:sheetData>
    <x:row r="1" ht="30" customHeight="1">
      <x:c r="A1" s="5" t="str">
        <x:v>EdgeFinder Pilot Dashboard</x:v>
      </x:c>
      <x:c r="B1" s="5"/>
      <x:c r="C1" s="5"/>
      <x:c r="D1" s="5"/>
      <x:c r="E1" s="5"/>
      <x:c r="F1" s="5"/>
      <x:c r="G1" s="5"/>
      <x:c r="H1" s="5"/>
      <x:c r="I1" s="5"/>
      <x:c r="J1" s="5"/>
      <x:c r="K1" s="5"/>
      <x:c r="L1" s="5"/>
      <x:c r="M1" s="5"/>
      <x:c r="N1" s="5"/>
      <x:c r="O1" s="5"/>
    </x:row>
    <x:row r="2">
      <x:c r="A2" s="89" t="str">
        <x:v>Fresh-slate statistics only. Legacy positions are not included. Source and setup metrics use closed trades only.</x:v>
      </x:c>
      <x:c r="B2" s="89"/>
      <x:c r="C2" s="89"/>
      <x:c r="D2" s="89"/>
      <x:c r="E2" s="89"/>
      <x:c r="F2" s="89"/>
      <x:c r="G2" s="89"/>
      <x:c r="H2" s="89"/>
      <x:c r="I2" s="89"/>
      <x:c r="J2" s="89"/>
      <x:c r="K2" s="89"/>
      <x:c r="L2" s="89"/>
      <x:c r="M2" s="89"/>
      <x:c r="N2" s="89"/>
      <x:c r="O2" s="89"/>
    </x:row>
    <x:row r="3">
      <x:c r="A3" s="239"/>
      <x:c r="B3" s="239"/>
      <x:c r="C3" s="239"/>
      <x:c r="D3" s="239"/>
      <x:c r="E3" s="239"/>
      <x:c r="F3" s="239"/>
      <x:c r="G3" s="239"/>
      <x:c r="H3" s="239"/>
      <x:c r="I3" s="239"/>
      <x:c r="J3" s="239"/>
      <x:c r="K3" s="239"/>
      <x:c r="L3" s="239"/>
      <x:c r="M3" s="239"/>
      <x:c r="N3" s="239"/>
      <x:c r="O3" s="239"/>
    </x:row>
    <x:row r="4" ht="22" customHeight="1">
      <x:c r="A4" s="21" t="str">
        <x:v>Pilot progress</x:v>
      </x:c>
      <x:c r="B4" s="21"/>
      <x:c r="C4" s="21"/>
      <x:c r="D4" s="21"/>
      <x:c r="E4" s="239"/>
      <x:c r="F4" s="187" t="str">
        <x:v>Execution quality</x:v>
      </x:c>
      <x:c r="G4" s="187"/>
      <x:c r="H4" s="187"/>
      <x:c r="I4" s="187"/>
      <x:c r="J4" s="239"/>
      <x:c r="K4" s="195" t="str">
        <x:v>Candidate capture</x:v>
      </x:c>
      <x:c r="L4" s="195"/>
      <x:c r="M4" s="195"/>
      <x:c r="N4" s="195"/>
      <x:c r="O4" s="195"/>
    </x:row>
    <x:row r="5" ht="42" customHeight="1">
      <x:c r="A5" s="38" t="str">
        <x:v>Metric</x:v>
      </x:c>
      <x:c r="B5" s="38" t="str">
        <x:v>Value</x:v>
      </x:c>
      <x:c r="C5" s="239"/>
      <x:c r="D5" s="239"/>
      <x:c r="E5" s="239"/>
      <x:c r="F5" s="57" t="str">
        <x:v>Metric</x:v>
      </x:c>
      <x:c r="G5" s="57" t="str">
        <x:v>Value</x:v>
      </x:c>
      <x:c r="H5" s="239"/>
      <x:c r="I5" s="239"/>
      <x:c r="J5" s="239"/>
      <x:c r="K5" s="121" t="str">
        <x:v>Metric</x:v>
      </x:c>
      <x:c r="L5" s="121" t="str">
        <x:v>Value</x:v>
      </x:c>
      <x:c r="M5" s="239"/>
      <x:c r="N5" s="239"/>
      <x:c r="O5" s="239"/>
    </x:row>
    <x:row r="6">
      <x:c r="A6" s="239" t="str">
        <x:v>New trades entered</x:v>
      </x:c>
      <x:c r="B6" s="285" t="n">
        <x:f>COUNTIF('Trade Journal'!$D$5:$D$54,"&lt;&gt;")</x:f>
        <x:v>0</x:v>
      </x:c>
      <x:c r="C6" s="239"/>
      <x:c r="D6" s="239"/>
      <x:c r="E6" s="239"/>
      <x:c r="F6" s="239" t="str">
        <x:v>Average R</x:v>
      </x:c>
      <x:c r="G6" s="286" t="n">
        <x:f>IFERROR(SUM('Trade Journal'!$AB$5:$AB$54)/COUNT('Trade Journal'!$AB$5:$AB$54),0)</x:f>
        <x:v>0</x:v>
      </x:c>
      <x:c r="H6" s="239"/>
      <x:c r="I6" s="239"/>
      <x:c r="J6" s="239"/>
      <x:c r="K6" s="239" t="str">
        <x:v>Candidates logged</x:v>
      </x:c>
      <x:c r="L6" s="285" t="n">
        <x:f>COUNTIF('Candidate Log'!$C$5:$C$104,"&lt;&gt;")</x:f>
        <x:v>0</x:v>
      </x:c>
      <x:c r="M6" s="239"/>
      <x:c r="N6" s="239"/>
      <x:c r="O6" s="239"/>
    </x:row>
    <x:row r="7">
      <x:c r="A7" s="239" t="str">
        <x:v>Closed trades</x:v>
      </x:c>
      <x:c r="B7" s="285" t="n">
        <x:f>COUNTIF('Trade Journal'!$C$5:$C$54,"Closed")</x:f>
        <x:v>0</x:v>
      </x:c>
      <x:c r="C7" s="239"/>
      <x:c r="D7" s="239"/>
      <x:c r="E7" s="239"/>
      <x:c r="F7" s="239" t="str">
        <x:v>Average holding days</x:v>
      </x:c>
      <x:c r="G7" s="287" t="n">
        <x:f>IFERROR(SUM('Trade Journal'!$AC$5:$AC$54)/COUNT('Trade Journal'!$AC$5:$AC$54),0)</x:f>
        <x:v>0</x:v>
      </x:c>
      <x:c r="H7" s="239"/>
      <x:c r="I7" s="239"/>
      <x:c r="J7" s="239"/>
      <x:c r="K7" s="239" t="str">
        <x:v>Taken</x:v>
      </x:c>
      <x:c r="L7" s="285" t="n">
        <x:f>COUNTIF('Candidate Log'!$N$5:$N$104,"Taken - Within Range")</x:f>
        <x:v>0</x:v>
      </x:c>
      <x:c r="M7" s="239"/>
      <x:c r="N7" s="239"/>
      <x:c r="O7" s="239"/>
    </x:row>
    <x:row r="8">
      <x:c r="A8" s="239" t="str">
        <x:v>Open / reduced trades</x:v>
      </x:c>
      <x:c r="B8" s="285" t="n">
        <x:f>COUNTIF('Trade Journal'!$C$5:$C$54,"Open")+COUNTIF('Trade Journal'!$C$5:$C$54,"Reduced")</x:f>
        <x:v>0</x:v>
      </x:c>
      <x:c r="C8" s="239"/>
      <x:c r="D8" s="239"/>
      <x:c r="E8" s="239"/>
      <x:c r="F8" s="239" t="str">
        <x:v>Full adherence rate</x:v>
      </x:c>
      <x:c r="G8" s="288" t="n">
        <x:f>IFERROR(COUNTIFS('Trade Journal'!$C$5:$C$54,"Closed",'Trade Journal'!$AE$5:$AE$54,"Full")/COUNTIF('Trade Journal'!$C$5:$C$54,"Closed"),0)</x:f>
        <x:v>0</x:v>
      </x:c>
      <x:c r="H8" s="239"/>
      <x:c r="I8" s="239"/>
      <x:c r="J8" s="239"/>
      <x:c r="K8" s="239" t="str">
        <x:v>Watchlist</x:v>
      </x:c>
      <x:c r="L8" s="285" t="n">
        <x:f>COUNTIF('Candidate Log'!$N$5:$N$104,"Watchlist")</x:f>
        <x:v>0</x:v>
      </x:c>
      <x:c r="M8" s="239"/>
      <x:c r="N8" s="239"/>
      <x:c r="O8" s="239"/>
    </x:row>
    <x:row r="9">
      <x:c r="A9" s="239" t="str">
        <x:v>Pilot status</x:v>
      </x:c>
      <x:c r="B9" s="285" t="str">
        <x:f>IF(B6&gt;=5,"Ready for usability review","Need "&amp;(5-B6)&amp;" more new trade(s)")</x:f>
        <x:v>Need 5 more new trade(s)</x:v>
      </x:c>
      <x:c r="C9" s="239"/>
      <x:c r="D9" s="239"/>
      <x:c r="E9" s="239"/>
      <x:c r="F9" s="239" t="str">
        <x:v>Minor deviations</x:v>
      </x:c>
      <x:c r="G9" s="285" t="n">
        <x:f>COUNTIF('Trade Journal'!$AE$5:$AE$54,"Minor Deviation")</x:f>
        <x:v>0</x:v>
      </x:c>
      <x:c r="H9" s="239"/>
      <x:c r="I9" s="239"/>
      <x:c r="J9" s="239"/>
      <x:c r="K9" s="239" t="str">
        <x:v>Missed - late/out of range</x:v>
      </x:c>
      <x:c r="L9" s="285" t="n">
        <x:f>COUNTIF('Candidate Log'!$N$5:$N$104,"Missed - Late / Out of Range")</x:f>
        <x:v>0</x:v>
      </x:c>
      <x:c r="M9" s="239"/>
      <x:c r="N9" s="239"/>
      <x:c r="O9" s="239"/>
    </x:row>
    <x:row r="10">
      <x:c r="A10" s="239" t="str">
        <x:v>Total net P/L</x:v>
      </x:c>
      <x:c r="B10" s="289" t="n">
        <x:f>SUM('Trade Journal'!$AA$5:$AA$54)</x:f>
        <x:v>0</x:v>
      </x:c>
      <x:c r="C10" s="239"/>
      <x:c r="D10" s="239"/>
      <x:c r="E10" s="239"/>
      <x:c r="F10" s="239" t="str">
        <x:v>Major deviations</x:v>
      </x:c>
      <x:c r="G10" s="285" t="n">
        <x:f>COUNTIF('Trade Journal'!$AE$5:$AE$54,"Major Deviation")</x:f>
        <x:v>0</x:v>
      </x:c>
      <x:c r="H10" s="239"/>
      <x:c r="I10" s="239"/>
      <x:c r="J10" s="239"/>
      <x:c r="K10" s="239" t="str">
        <x:v>Rejected / skipped</x:v>
      </x:c>
      <x:c r="L10" s="285" t="n">
        <x:f>SUM(COUNTIF('Candidate Log'!$N$5:$N$104,{"Rejected - Technical","Rejected - Analyst Ratings","Rejected - Risk/Reward","Skipped - Risk Capacity","Skipped - Operational","Discretionary Skip"}))</x:f>
        <x:v>0</x:v>
      </x:c>
      <x:c r="M10" s="239"/>
      <x:c r="N10" s="239"/>
      <x:c r="O10" s="239"/>
    </x:row>
    <x:row r="11">
      <x:c r="A11" s="239" t="str">
        <x:v>Total R</x:v>
      </x:c>
      <x:c r="B11" s="286" t="n">
        <x:f>SUM('Trade Journal'!$AB$5:$AB$54)</x:f>
        <x:v>0</x:v>
      </x:c>
      <x:c r="C11" s="239"/>
      <x:c r="D11" s="239"/>
      <x:c r="E11" s="239"/>
      <x:c r="F11" s="239" t="str">
        <x:v>Average entry logging minutes</x:v>
      </x:c>
      <x:c r="G11" s="287" t="n">
        <x:f>IFERROR(AVERAGE('Pilot Feedback'!$B$6:$B$10),0)</x:f>
        <x:v>0</x:v>
      </x:c>
      <x:c r="H11" s="239"/>
      <x:c r="I11" s="239"/>
      <x:c r="J11" s="239"/>
      <x:c r="K11" s="239"/>
      <x:c r="L11" s="239"/>
      <x:c r="M11" s="239"/>
      <x:c r="N11" s="239"/>
      <x:c r="O11" s="239"/>
    </x:row>
    <x:row r="12">
      <x:c r="A12" s="239" t="str">
        <x:v>Win rate</x:v>
      </x:c>
      <x:c r="B12" s="288" t="n">
        <x:f>IFERROR(COUNTIF('Trade Journal'!$AA$5:$AA$54,"&gt;0")/COUNT('Trade Journal'!$AA$5:$AA$54),0)</x:f>
        <x:v>0</x:v>
      </x:c>
      <x:c r="C12" s="239"/>
      <x:c r="D12" s="239"/>
      <x:c r="E12" s="239"/>
      <x:c r="F12" s="239"/>
      <x:c r="G12" s="239"/>
      <x:c r="H12" s="239"/>
      <x:c r="I12" s="239"/>
      <x:c r="J12" s="239"/>
      <x:c r="K12" s="239"/>
      <x:c r="L12" s="239"/>
      <x:c r="M12" s="239"/>
      <x:c r="N12" s="239"/>
      <x:c r="O12" s="239"/>
    </x:row>
    <x:row r="13">
      <x:c r="A13" s="239"/>
      <x:c r="B13" s="239"/>
      <x:c r="C13" s="239"/>
      <x:c r="D13" s="239"/>
      <x:c r="E13" s="239"/>
      <x:c r="F13" s="239"/>
      <x:c r="G13" s="239"/>
      <x:c r="H13" s="239"/>
      <x:c r="I13" s="239"/>
      <x:c r="J13" s="239"/>
      <x:c r="K13" s="239"/>
      <x:c r="L13" s="239"/>
      <x:c r="M13" s="239"/>
      <x:c r="N13" s="239"/>
      <x:c r="O13" s="239"/>
    </x:row>
    <x:row r="14" ht="22" customHeight="1">
      <x:c r="A14" s="21" t="str">
        <x:v>Closed-trade performance by source</x:v>
      </x:c>
      <x:c r="B14" s="21"/>
      <x:c r="C14" s="21"/>
      <x:c r="D14" s="21"/>
      <x:c r="E14" s="21"/>
      <x:c r="F14" s="21"/>
      <x:c r="G14" s="21"/>
      <x:c r="H14" s="239"/>
      <x:c r="I14" s="187" t="str">
        <x:v>Closed-trade performance by setup</x:v>
      </x:c>
      <x:c r="J14" s="187"/>
      <x:c r="K14" s="187"/>
      <x:c r="L14" s="187"/>
      <x:c r="M14" s="187"/>
      <x:c r="N14" s="187"/>
      <x:c r="O14" s="187"/>
    </x:row>
    <x:row r="15" ht="42" customHeight="1">
      <x:c r="A15" s="38" t="str">
        <x:v>Source</x:v>
      </x:c>
      <x:c r="B15" s="38" t="str">
        <x:v>Closed Trades</x:v>
      </x:c>
      <x:c r="C15" s="38" t="str">
        <x:v>Net P/L</x:v>
      </x:c>
      <x:c r="D15" s="38" t="str">
        <x:v>Total R</x:v>
      </x:c>
      <x:c r="E15" s="38" t="str">
        <x:v>Average R</x:v>
      </x:c>
      <x:c r="F15" s="38" t="str">
        <x:v>Win Rate</x:v>
      </x:c>
      <x:c r="G15" s="38" t="str">
        <x:v>Full Adherence</x:v>
      </x:c>
      <x:c r="H15" s="239"/>
      <x:c r="I15" s="57" t="str">
        <x:v>Setup</x:v>
      </x:c>
      <x:c r="J15" s="57" t="str">
        <x:v>Closed Trades</x:v>
      </x:c>
      <x:c r="K15" s="57" t="str">
        <x:v>Net P/L</x:v>
      </x:c>
      <x:c r="L15" s="57" t="str">
        <x:v>Total R</x:v>
      </x:c>
      <x:c r="M15" s="57" t="str">
        <x:v>Average R</x:v>
      </x:c>
      <x:c r="N15" s="57" t="str">
        <x:v>Win Rate</x:v>
      </x:c>
      <x:c r="O15" s="57" t="str">
        <x:v>Full Adherence</x:v>
      </x:c>
    </x:row>
    <x:row r="16">
      <x:c r="A16" s="240" t="str">
        <x:v>Robinhood Social</x:v>
      </x:c>
      <x:c r="B16" s="290" t="n">
        <x:f>COUNTIFS('Trade Journal'!$C$5:$C$54,"Closed",'Trade Journal'!$G$5:$G$54,$A16)</x:f>
        <x:v>0</x:v>
      </x:c>
      <x:c r="C16" s="291" t="n">
        <x:f>SUMIFS('Trade Journal'!$AA$5:$AA$54,'Trade Journal'!$C$5:$C$54,"Closed",'Trade Journal'!$G$5:$G$54,$A16)</x:f>
        <x:v>0</x:v>
      </x:c>
      <x:c r="D16" s="292" t="n">
        <x:f>SUMIFS('Trade Journal'!$AB$5:$AB$54,'Trade Journal'!$C$5:$C$54,"Closed",'Trade Journal'!$G$5:$G$54,$A16)</x:f>
        <x:v>0</x:v>
      </x:c>
      <x:c r="E16" s="292" t="n">
        <x:f>IFERROR($D16/$B16,0)</x:f>
        <x:v>0</x:v>
      </x:c>
      <x:c r="F16" s="293" t="n">
        <x:f>IFERROR(COUNTIFS('Trade Journal'!$C$5:$C$54,"Closed",'Trade Journal'!$G$5:$G$54,$A16,'Trade Journal'!$AA$5:$AA$54,"&gt;0")/$B16,0)</x:f>
        <x:v>0</x:v>
      </x:c>
      <x:c r="G16" s="293" t="n">
        <x:f>IFERROR(COUNTIFS('Trade Journal'!$C$5:$C$54,"Closed",'Trade Journal'!$G$5:$G$54,$A16,'Trade Journal'!$AE$5:$AE$54,"Full")/$B16,0)</x:f>
        <x:v>0</x:v>
      </x:c>
      <x:c r="H16" s="239"/>
      <x:c r="I16" s="240" t="str">
        <x:v>Support Bounce</x:v>
      </x:c>
      <x:c r="J16" s="290" t="n">
        <x:f>COUNTIFS('Trade Journal'!$C$5:$C$54,"Closed",'Trade Journal'!$J$5:$J$54,$I16)</x:f>
        <x:v>0</x:v>
      </x:c>
      <x:c r="K16" s="291" t="n">
        <x:f>SUMIFS('Trade Journal'!$AA$5:$AA$54,'Trade Journal'!$C$5:$C$54,"Closed",'Trade Journal'!$J$5:$J$54,$I16)</x:f>
        <x:v>0</x:v>
      </x:c>
      <x:c r="L16" s="292" t="n">
        <x:f>SUMIFS('Trade Journal'!$AB$5:$AB$54,'Trade Journal'!$C$5:$C$54,"Closed",'Trade Journal'!$J$5:$J$54,$I16)</x:f>
        <x:v>0</x:v>
      </x:c>
      <x:c r="M16" s="292" t="n">
        <x:f>IFERROR($L16/$J16,0)</x:f>
        <x:v>0</x:v>
      </x:c>
      <x:c r="N16" s="293" t="n">
        <x:f>IFERROR(COUNTIFS('Trade Journal'!$C$5:$C$54,"Closed",'Trade Journal'!$J$5:$J$54,$I16,'Trade Journal'!$AA$5:$AA$54,"&gt;0")/$J16,0)</x:f>
        <x:v>0</x:v>
      </x:c>
      <x:c r="O16" s="293" t="n">
        <x:f>IFERROR(COUNTIFS('Trade Journal'!$C$5:$C$54,"Closed",'Trade Journal'!$J$5:$J$54,$I16,'Trade Journal'!$AE$5:$AE$54,"Full")/$J16,0)</x:f>
        <x:v>0</x:v>
      </x:c>
    </x:row>
    <x:row r="17">
      <x:c r="A17" s="240" t="str">
        <x:v>Simply Wall St</x:v>
      </x:c>
      <x:c r="B17" s="290" t="n">
        <x:f>COUNTIFS('Trade Journal'!$C$5:$C$54,"Closed",'Trade Journal'!$G$5:$G$54,$A17)</x:f>
        <x:v>0</x:v>
      </x:c>
      <x:c r="C17" s="291" t="n">
        <x:f>SUMIFS('Trade Journal'!$AA$5:$AA$54,'Trade Journal'!$C$5:$C$54,"Closed",'Trade Journal'!$G$5:$G$54,$A17)</x:f>
        <x:v>0</x:v>
      </x:c>
      <x:c r="D17" s="292" t="n">
        <x:f>SUMIFS('Trade Journal'!$AB$5:$AB$54,'Trade Journal'!$C$5:$C$54,"Closed",'Trade Journal'!$G$5:$G$54,$A17)</x:f>
        <x:v>0</x:v>
      </x:c>
      <x:c r="E17" s="292" t="n">
        <x:f>IFERROR($D17/$B17,0)</x:f>
        <x:v>0</x:v>
      </x:c>
      <x:c r="F17" s="293" t="n">
        <x:f>IFERROR(COUNTIFS('Trade Journal'!$C$5:$C$54,"Closed",'Trade Journal'!$G$5:$G$54,$A17,'Trade Journal'!$AA$5:$AA$54,"&gt;0")/$B17,0)</x:f>
        <x:v>0</x:v>
      </x:c>
      <x:c r="G17" s="293" t="n">
        <x:f>IFERROR(COUNTIFS('Trade Journal'!$C$5:$C$54,"Closed",'Trade Journal'!$G$5:$G$54,$A17,'Trade Journal'!$AE$5:$AE$54,"Full")/$B17,0)</x:f>
        <x:v>0</x:v>
      </x:c>
      <x:c r="H17" s="239"/>
      <x:c r="I17" s="240" t="str">
        <x:v>Support Reclaim</x:v>
      </x:c>
      <x:c r="J17" s="290" t="n">
        <x:f>COUNTIFS('Trade Journal'!$C$5:$C$54,"Closed",'Trade Journal'!$J$5:$J$54,$I17)</x:f>
        <x:v>0</x:v>
      </x:c>
      <x:c r="K17" s="291" t="n">
        <x:f>SUMIFS('Trade Journal'!$AA$5:$AA$54,'Trade Journal'!$C$5:$C$54,"Closed",'Trade Journal'!$J$5:$J$54,$I17)</x:f>
        <x:v>0</x:v>
      </x:c>
      <x:c r="L17" s="292" t="n">
        <x:f>SUMIFS('Trade Journal'!$AB$5:$AB$54,'Trade Journal'!$C$5:$C$54,"Closed",'Trade Journal'!$J$5:$J$54,$I17)</x:f>
        <x:v>0</x:v>
      </x:c>
      <x:c r="M17" s="292" t="n">
        <x:f>IFERROR($L17/$J17,0)</x:f>
        <x:v>0</x:v>
      </x:c>
      <x:c r="N17" s="293" t="n">
        <x:f>IFERROR(COUNTIFS('Trade Journal'!$C$5:$C$54,"Closed",'Trade Journal'!$J$5:$J$54,$I17,'Trade Journal'!$AA$5:$AA$54,"&gt;0")/$J17,0)</x:f>
        <x:v>0</x:v>
      </x:c>
      <x:c r="O17" s="293" t="n">
        <x:f>IFERROR(COUNTIFS('Trade Journal'!$C$5:$C$54,"Closed",'Trade Journal'!$J$5:$J$54,$I17,'Trade Journal'!$AE$5:$AE$54,"Full")/$J17,0)</x:f>
        <x:v>0</x:v>
      </x:c>
    </x:row>
    <x:row r="18">
      <x:c r="A18" s="240" t="str">
        <x:v>Tickeron</x:v>
      </x:c>
      <x:c r="B18" s="290" t="n">
        <x:f>COUNTIFS('Trade Journal'!$C$5:$C$54,"Closed",'Trade Journal'!$G$5:$G$54,$A18)</x:f>
        <x:v>0</x:v>
      </x:c>
      <x:c r="C18" s="291" t="n">
        <x:f>SUMIFS('Trade Journal'!$AA$5:$AA$54,'Trade Journal'!$C$5:$C$54,"Closed",'Trade Journal'!$G$5:$G$54,$A18)</x:f>
        <x:v>0</x:v>
      </x:c>
      <x:c r="D18" s="292" t="n">
        <x:f>SUMIFS('Trade Journal'!$AB$5:$AB$54,'Trade Journal'!$C$5:$C$54,"Closed",'Trade Journal'!$G$5:$G$54,$A18)</x:f>
        <x:v>0</x:v>
      </x:c>
      <x:c r="E18" s="292" t="n">
        <x:f>IFERROR($D18/$B18,0)</x:f>
        <x:v>0</x:v>
      </x:c>
      <x:c r="F18" s="293" t="n">
        <x:f>IFERROR(COUNTIFS('Trade Journal'!$C$5:$C$54,"Closed",'Trade Journal'!$G$5:$G$54,$A18,'Trade Journal'!$AA$5:$AA$54,"&gt;0")/$B18,0)</x:f>
        <x:v>0</x:v>
      </x:c>
      <x:c r="G18" s="293" t="n">
        <x:f>IFERROR(COUNTIFS('Trade Journal'!$C$5:$C$54,"Closed",'Trade Journal'!$G$5:$G$54,$A18,'Trade Journal'!$AE$5:$AE$54,"Full")/$B18,0)</x:f>
        <x:v>0</x:v>
      </x:c>
      <x:c r="H18" s="239"/>
      <x:c r="I18" s="240" t="str">
        <x:v>Breakout</x:v>
      </x:c>
      <x:c r="J18" s="290" t="n">
        <x:f>COUNTIFS('Trade Journal'!$C$5:$C$54,"Closed",'Trade Journal'!$J$5:$J$54,$I18)</x:f>
        <x:v>0</x:v>
      </x:c>
      <x:c r="K18" s="291" t="n">
        <x:f>SUMIFS('Trade Journal'!$AA$5:$AA$54,'Trade Journal'!$C$5:$C$54,"Closed",'Trade Journal'!$J$5:$J$54,$I18)</x:f>
        <x:v>0</x:v>
      </x:c>
      <x:c r="L18" s="292" t="n">
        <x:f>SUMIFS('Trade Journal'!$AB$5:$AB$54,'Trade Journal'!$C$5:$C$54,"Closed",'Trade Journal'!$J$5:$J$54,$I18)</x:f>
        <x:v>0</x:v>
      </x:c>
      <x:c r="M18" s="292" t="n">
        <x:f>IFERROR($L18/$J18,0)</x:f>
        <x:v>0</x:v>
      </x:c>
      <x:c r="N18" s="293" t="n">
        <x:f>IFERROR(COUNTIFS('Trade Journal'!$C$5:$C$54,"Closed",'Trade Journal'!$J$5:$J$54,$I18,'Trade Journal'!$AA$5:$AA$54,"&gt;0")/$J18,0)</x:f>
        <x:v>0</x:v>
      </x:c>
      <x:c r="O18" s="293" t="n">
        <x:f>IFERROR(COUNTIFS('Trade Journal'!$C$5:$C$54,"Closed",'Trade Journal'!$J$5:$J$54,$I18,'Trade Journal'!$AE$5:$AE$54,"Full")/$J18,0)</x:f>
        <x:v>0</x:v>
      </x:c>
    </x:row>
    <x:row r="19">
      <x:c r="A19" s="240" t="str">
        <x:v>Moomoo</x:v>
      </x:c>
      <x:c r="B19" s="290" t="n">
        <x:f>COUNTIFS('Trade Journal'!$C$5:$C$54,"Closed",'Trade Journal'!$G$5:$G$54,$A19)</x:f>
        <x:v>0</x:v>
      </x:c>
      <x:c r="C19" s="291" t="n">
        <x:f>SUMIFS('Trade Journal'!$AA$5:$AA$54,'Trade Journal'!$C$5:$C$54,"Closed",'Trade Journal'!$G$5:$G$54,$A19)</x:f>
        <x:v>0</x:v>
      </x:c>
      <x:c r="D19" s="292" t="n">
        <x:f>SUMIFS('Trade Journal'!$AB$5:$AB$54,'Trade Journal'!$C$5:$C$54,"Closed",'Trade Journal'!$G$5:$G$54,$A19)</x:f>
        <x:v>0</x:v>
      </x:c>
      <x:c r="E19" s="292" t="n">
        <x:f>IFERROR($D19/$B19,0)</x:f>
        <x:v>0</x:v>
      </x:c>
      <x:c r="F19" s="293" t="n">
        <x:f>IFERROR(COUNTIFS('Trade Journal'!$C$5:$C$54,"Closed",'Trade Journal'!$G$5:$G$54,$A19,'Trade Journal'!$AA$5:$AA$54,"&gt;0")/$B19,0)</x:f>
        <x:v>0</x:v>
      </x:c>
      <x:c r="G19" s="293" t="n">
        <x:f>IFERROR(COUNTIFS('Trade Journal'!$C$5:$C$54,"Closed",'Trade Journal'!$G$5:$G$54,$A19,'Trade Journal'!$AE$5:$AE$54,"Full")/$B19,0)</x:f>
        <x:v>0</x:v>
      </x:c>
      <x:c r="H19" s="239"/>
      <x:c r="I19" s="240" t="str">
        <x:v>Pullback in Uptrend</x:v>
      </x:c>
      <x:c r="J19" s="290" t="n">
        <x:f>COUNTIFS('Trade Journal'!$C$5:$C$54,"Closed",'Trade Journal'!$J$5:$J$54,$I19)</x:f>
        <x:v>0</x:v>
      </x:c>
      <x:c r="K19" s="291" t="n">
        <x:f>SUMIFS('Trade Journal'!$AA$5:$AA$54,'Trade Journal'!$C$5:$C$54,"Closed",'Trade Journal'!$J$5:$J$54,$I19)</x:f>
        <x:v>0</x:v>
      </x:c>
      <x:c r="L19" s="292" t="n">
        <x:f>SUMIFS('Trade Journal'!$AB$5:$AB$54,'Trade Journal'!$C$5:$C$54,"Closed",'Trade Journal'!$J$5:$J$54,$I19)</x:f>
        <x:v>0</x:v>
      </x:c>
      <x:c r="M19" s="292" t="n">
        <x:f>IFERROR($L19/$J19,0)</x:f>
        <x:v>0</x:v>
      </x:c>
      <x:c r="N19" s="293" t="n">
        <x:f>IFERROR(COUNTIFS('Trade Journal'!$C$5:$C$54,"Closed",'Trade Journal'!$J$5:$J$54,$I19,'Trade Journal'!$AA$5:$AA$54,"&gt;0")/$J19,0)</x:f>
        <x:v>0</x:v>
      </x:c>
      <x:c r="O19" s="293" t="n">
        <x:f>IFERROR(COUNTIFS('Trade Journal'!$C$5:$C$54,"Closed",'Trade Journal'!$J$5:$J$54,$I19,'Trade Journal'!$AE$5:$AE$54,"Full")/$J19,0)</x:f>
        <x:v>0</x:v>
      </x:c>
    </x:row>
    <x:row r="20">
      <x:c r="A20" s="240" t="str">
        <x:v>Own Research</x:v>
      </x:c>
      <x:c r="B20" s="290" t="n">
        <x:f>COUNTIFS('Trade Journal'!$C$5:$C$54,"Closed",'Trade Journal'!$G$5:$G$54,$A20)</x:f>
        <x:v>0</x:v>
      </x:c>
      <x:c r="C20" s="291" t="n">
        <x:f>SUMIFS('Trade Journal'!$AA$5:$AA$54,'Trade Journal'!$C$5:$C$54,"Closed",'Trade Journal'!$G$5:$G$54,$A20)</x:f>
        <x:v>0</x:v>
      </x:c>
      <x:c r="D20" s="292" t="n">
        <x:f>SUMIFS('Trade Journal'!$AB$5:$AB$54,'Trade Journal'!$C$5:$C$54,"Closed",'Trade Journal'!$G$5:$G$54,$A20)</x:f>
        <x:v>0</x:v>
      </x:c>
      <x:c r="E20" s="292" t="n">
        <x:f>IFERROR($D20/$B20,0)</x:f>
        <x:v>0</x:v>
      </x:c>
      <x:c r="F20" s="293" t="n">
        <x:f>IFERROR(COUNTIFS('Trade Journal'!$C$5:$C$54,"Closed",'Trade Journal'!$G$5:$G$54,$A20,'Trade Journal'!$AA$5:$AA$54,"&gt;0")/$B20,0)</x:f>
        <x:v>0</x:v>
      </x:c>
      <x:c r="G20" s="293" t="n">
        <x:f>IFERROR(COUNTIFS('Trade Journal'!$C$5:$C$54,"Closed",'Trade Journal'!$G$5:$G$54,$A20,'Trade Journal'!$AE$5:$AE$54,"Full")/$B20,0)</x:f>
        <x:v>0</x:v>
      </x:c>
      <x:c r="H20" s="239"/>
      <x:c r="I20" s="240" t="str">
        <x:v>Momentum Continuation</x:v>
      </x:c>
      <x:c r="J20" s="290" t="n">
        <x:f>COUNTIFS('Trade Journal'!$C$5:$C$54,"Closed",'Trade Journal'!$J$5:$J$54,$I20)</x:f>
        <x:v>0</x:v>
      </x:c>
      <x:c r="K20" s="291" t="n">
        <x:f>SUMIFS('Trade Journal'!$AA$5:$AA$54,'Trade Journal'!$C$5:$C$54,"Closed",'Trade Journal'!$J$5:$J$54,$I20)</x:f>
        <x:v>0</x:v>
      </x:c>
      <x:c r="L20" s="292" t="n">
        <x:f>SUMIFS('Trade Journal'!$AB$5:$AB$54,'Trade Journal'!$C$5:$C$54,"Closed",'Trade Journal'!$J$5:$J$54,$I20)</x:f>
        <x:v>0</x:v>
      </x:c>
      <x:c r="M20" s="292" t="n">
        <x:f>IFERROR($L20/$J20,0)</x:f>
        <x:v>0</x:v>
      </x:c>
      <x:c r="N20" s="293" t="n">
        <x:f>IFERROR(COUNTIFS('Trade Journal'!$C$5:$C$54,"Closed",'Trade Journal'!$J$5:$J$54,$I20,'Trade Journal'!$AA$5:$AA$54,"&gt;0")/$J20,0)</x:f>
        <x:v>0</x:v>
      </x:c>
      <x:c r="O20" s="293" t="n">
        <x:f>IFERROR(COUNTIFS('Trade Journal'!$C$5:$C$54,"Closed",'Trade Journal'!$J$5:$J$54,$I20,'Trade Journal'!$AE$5:$AE$54,"Full")/$J20,0)</x:f>
        <x:v>0</x:v>
      </x:c>
    </x:row>
    <x:row r="21">
      <x:c r="A21" s="240" t="str">
        <x:v>Other</x:v>
      </x:c>
      <x:c r="B21" s="290" t="n">
        <x:f>COUNTIFS('Trade Journal'!$C$5:$C$54,"Closed",'Trade Journal'!$G$5:$G$54,$A21)</x:f>
        <x:v>0</x:v>
      </x:c>
      <x:c r="C21" s="291" t="n">
        <x:f>SUMIFS('Trade Journal'!$AA$5:$AA$54,'Trade Journal'!$C$5:$C$54,"Closed",'Trade Journal'!$G$5:$G$54,$A21)</x:f>
        <x:v>0</x:v>
      </x:c>
      <x:c r="D21" s="292" t="n">
        <x:f>SUMIFS('Trade Journal'!$AB$5:$AB$54,'Trade Journal'!$C$5:$C$54,"Closed",'Trade Journal'!$G$5:$G$54,$A21)</x:f>
        <x:v>0</x:v>
      </x:c>
      <x:c r="E21" s="292" t="n">
        <x:f>IFERROR($D21/$B21,0)</x:f>
        <x:v>0</x:v>
      </x:c>
      <x:c r="F21" s="293" t="n">
        <x:f>IFERROR(COUNTIFS('Trade Journal'!$C$5:$C$54,"Closed",'Trade Journal'!$G$5:$G$54,$A21,'Trade Journal'!$AA$5:$AA$54,"&gt;0")/$B21,0)</x:f>
        <x:v>0</x:v>
      </x:c>
      <x:c r="G21" s="293" t="n">
        <x:f>IFERROR(COUNTIFS('Trade Journal'!$C$5:$C$54,"Closed",'Trade Journal'!$G$5:$G$54,$A21,'Trade Journal'!$AE$5:$AE$54,"Full")/$B21,0)</x:f>
        <x:v>0</x:v>
      </x:c>
      <x:c r="H21" s="239"/>
      <x:c r="I21" s="240" t="str">
        <x:v>Oversold Reversal</x:v>
      </x:c>
      <x:c r="J21" s="290" t="n">
        <x:f>COUNTIFS('Trade Journal'!$C$5:$C$54,"Closed",'Trade Journal'!$J$5:$J$54,$I21)</x:f>
        <x:v>0</x:v>
      </x:c>
      <x:c r="K21" s="291" t="n">
        <x:f>SUMIFS('Trade Journal'!$AA$5:$AA$54,'Trade Journal'!$C$5:$C$54,"Closed",'Trade Journal'!$J$5:$J$54,$I21)</x:f>
        <x:v>0</x:v>
      </x:c>
      <x:c r="L21" s="292" t="n">
        <x:f>SUMIFS('Trade Journal'!$AB$5:$AB$54,'Trade Journal'!$C$5:$C$54,"Closed",'Trade Journal'!$J$5:$J$54,$I21)</x:f>
        <x:v>0</x:v>
      </x:c>
      <x:c r="M21" s="292" t="n">
        <x:f>IFERROR($L21/$J21,0)</x:f>
        <x:v>0</x:v>
      </x:c>
      <x:c r="N21" s="293" t="n">
        <x:f>IFERROR(COUNTIFS('Trade Journal'!$C$5:$C$54,"Closed",'Trade Journal'!$J$5:$J$54,$I21,'Trade Journal'!$AA$5:$AA$54,"&gt;0")/$J21,0)</x:f>
        <x:v>0</x:v>
      </x:c>
      <x:c r="O21" s="293" t="n">
        <x:f>IFERROR(COUNTIFS('Trade Journal'!$C$5:$C$54,"Closed",'Trade Journal'!$J$5:$J$54,$I21,'Trade Journal'!$AE$5:$AE$54,"Full")/$J21,0)</x:f>
        <x:v>0</x:v>
      </x:c>
    </x:row>
    <x:row r="22">
      <x:c r="A22" s="239"/>
      <x:c r="B22" s="239"/>
      <x:c r="C22" s="239"/>
      <x:c r="D22" s="239"/>
      <x:c r="E22" s="239"/>
      <x:c r="F22" s="239"/>
      <x:c r="G22" s="239"/>
      <x:c r="H22" s="239"/>
      <x:c r="I22" s="240" t="str">
        <x:v>Overbought Reversal</x:v>
      </x:c>
      <x:c r="J22" s="290" t="n">
        <x:f>COUNTIFS('Trade Journal'!$C$5:$C$54,"Closed",'Trade Journal'!$J$5:$J$54,$I22)</x:f>
        <x:v>0</x:v>
      </x:c>
      <x:c r="K22" s="291" t="n">
        <x:f>SUMIFS('Trade Journal'!$AA$5:$AA$54,'Trade Journal'!$C$5:$C$54,"Closed",'Trade Journal'!$J$5:$J$54,$I22)</x:f>
        <x:v>0</x:v>
      </x:c>
      <x:c r="L22" s="292" t="n">
        <x:f>SUMIFS('Trade Journal'!$AB$5:$AB$54,'Trade Journal'!$C$5:$C$54,"Closed",'Trade Journal'!$J$5:$J$54,$I22)</x:f>
        <x:v>0</x:v>
      </x:c>
      <x:c r="M22" s="292" t="n">
        <x:f>IFERROR($L22/$J22,0)</x:f>
        <x:v>0</x:v>
      </x:c>
      <x:c r="N22" s="293" t="n">
        <x:f>IFERROR(COUNTIFS('Trade Journal'!$C$5:$C$54,"Closed",'Trade Journal'!$J$5:$J$54,$I22,'Trade Journal'!$AA$5:$AA$54,"&gt;0")/$J22,0)</x:f>
        <x:v>0</x:v>
      </x:c>
      <x:c r="O22" s="293" t="n">
        <x:f>IFERROR(COUNTIFS('Trade Journal'!$C$5:$C$54,"Closed",'Trade Journal'!$J$5:$J$54,$I22,'Trade Journal'!$AE$5:$AE$54,"Full")/$J22,0)</x:f>
        <x:v>0</x:v>
      </x:c>
    </x:row>
    <x:row r="23">
      <x:c r="A23" s="239"/>
      <x:c r="B23" s="239"/>
      <x:c r="C23" s="239"/>
      <x:c r="D23" s="239"/>
      <x:c r="E23" s="239"/>
      <x:c r="F23" s="239"/>
      <x:c r="G23" s="239"/>
      <x:c r="H23" s="239"/>
      <x:c r="I23" s="240" t="str">
        <x:v>Tickeron Signal-Following</x:v>
      </x:c>
      <x:c r="J23" s="290" t="n">
        <x:f>COUNTIFS('Trade Journal'!$C$5:$C$54,"Closed",'Trade Journal'!$J$5:$J$54,$I23)</x:f>
        <x:v>0</x:v>
      </x:c>
      <x:c r="K23" s="291" t="n">
        <x:f>SUMIFS('Trade Journal'!$AA$5:$AA$54,'Trade Journal'!$C$5:$C$54,"Closed",'Trade Journal'!$J$5:$J$54,$I23)</x:f>
        <x:v>0</x:v>
      </x:c>
      <x:c r="L23" s="292" t="n">
        <x:f>SUMIFS('Trade Journal'!$AB$5:$AB$54,'Trade Journal'!$C$5:$C$54,"Closed",'Trade Journal'!$J$5:$J$54,$I23)</x:f>
        <x:v>0</x:v>
      </x:c>
      <x:c r="M23" s="292" t="n">
        <x:f>IFERROR($L23/$J23,0)</x:f>
        <x:v>0</x:v>
      </x:c>
      <x:c r="N23" s="293" t="n">
        <x:f>IFERROR(COUNTIFS('Trade Journal'!$C$5:$C$54,"Closed",'Trade Journal'!$J$5:$J$54,$I23,'Trade Journal'!$AA$5:$AA$54,"&gt;0")/$J23,0)</x:f>
        <x:v>0</x:v>
      </x:c>
      <x:c r="O23" s="293" t="n">
        <x:f>IFERROR(COUNTIFS('Trade Journal'!$C$5:$C$54,"Closed",'Trade Journal'!$J$5:$J$54,$I23,'Trade Journal'!$AE$5:$AE$54,"Full")/$J23,0)</x:f>
        <x:v>0</x:v>
      </x:c>
    </x:row>
    <x:row r="24">
      <x:c r="A24" s="239"/>
      <x:c r="B24" s="239"/>
      <x:c r="C24" s="239"/>
      <x:c r="D24" s="239"/>
      <x:c r="E24" s="239"/>
      <x:c r="F24" s="239"/>
      <x:c r="G24" s="239"/>
      <x:c r="H24" s="239"/>
      <x:c r="I24" s="240" t="str">
        <x:v>Other</x:v>
      </x:c>
      <x:c r="J24" s="290" t="n">
        <x:f>COUNTIFS('Trade Journal'!$C$5:$C$54,"Closed",'Trade Journal'!$J$5:$J$54,$I24)</x:f>
        <x:v>0</x:v>
      </x:c>
      <x:c r="K24" s="291" t="n">
        <x:f>SUMIFS('Trade Journal'!$AA$5:$AA$54,'Trade Journal'!$C$5:$C$54,"Closed",'Trade Journal'!$J$5:$J$54,$I24)</x:f>
        <x:v>0</x:v>
      </x:c>
      <x:c r="L24" s="292" t="n">
        <x:f>SUMIFS('Trade Journal'!$AB$5:$AB$54,'Trade Journal'!$C$5:$C$54,"Closed",'Trade Journal'!$J$5:$J$54,$I24)</x:f>
        <x:v>0</x:v>
      </x:c>
      <x:c r="M24" s="292" t="n">
        <x:f>IFERROR($L24/$J24,0)</x:f>
        <x:v>0</x:v>
      </x:c>
      <x:c r="N24" s="293" t="n">
        <x:f>IFERROR(COUNTIFS('Trade Journal'!$C$5:$C$54,"Closed",'Trade Journal'!$J$5:$J$54,$I24,'Trade Journal'!$AA$5:$AA$54,"&gt;0")/$J24,0)</x:f>
        <x:v>0</x:v>
      </x:c>
      <x:c r="O24" s="293" t="n">
        <x:f>IFERROR(COUNTIFS('Trade Journal'!$C$5:$C$54,"Closed",'Trade Journal'!$J$5:$J$54,$I24,'Trade Journal'!$AE$5:$AE$54,"Full")/$J24,0)</x:f>
        <x:v>0</x:v>
      </x:c>
    </x:row>
    <x:row r="25">
      <x:c r="A25" s="239"/>
      <x:c r="B25" s="239"/>
      <x:c r="C25" s="239"/>
      <x:c r="D25" s="239"/>
      <x:c r="E25" s="239"/>
      <x:c r="F25" s="239"/>
      <x:c r="G25" s="239"/>
      <x:c r="H25" s="239"/>
      <x:c r="I25" s="239"/>
      <x:c r="J25" s="239"/>
      <x:c r="K25" s="239"/>
      <x:c r="L25" s="239"/>
      <x:c r="M25" s="239"/>
      <x:c r="N25" s="239"/>
      <x:c r="O25" s="239"/>
    </x:row>
    <x:row r="26">
      <x:c r="A26" s="239"/>
      <x:c r="B26" s="239"/>
      <x:c r="C26" s="239"/>
      <x:c r="D26" s="239"/>
      <x:c r="E26" s="239"/>
      <x:c r="F26" s="239"/>
      <x:c r="G26" s="239"/>
      <x:c r="H26" s="239"/>
      <x:c r="I26" s="239"/>
      <x:c r="J26" s="239"/>
      <x:c r="K26" s="239"/>
      <x:c r="L26" s="239"/>
      <x:c r="M26" s="239"/>
      <x:c r="N26" s="239"/>
      <x:c r="O26" s="239"/>
    </x:row>
    <x:row r="27" ht="22" customHeight="1">
      <x:c r="A27" s="209" t="str">
        <x:v>Interpretation note</x:v>
      </x:c>
      <x:c r="B27" s="209"/>
      <x:c r="C27" s="209"/>
      <x:c r="D27" s="209"/>
      <x:c r="E27" s="209"/>
      <x:c r="F27" s="209"/>
      <x:c r="G27" s="209"/>
      <x:c r="H27" s="209"/>
      <x:c r="I27" s="209"/>
      <x:c r="J27" s="209"/>
      <x:c r="K27" s="209"/>
      <x:c r="L27" s="209"/>
      <x:c r="M27" s="209"/>
      <x:c r="N27" s="209"/>
      <x:c r="O27" s="209"/>
    </x:row>
    <x:row r="28">
      <x:c r="A28" s="294" t="str">
        <x:v>Five trades are sufficient to evaluate usability, not strategy quality. The first performance tables are directional only; do not focus, pause, or retire a strategy based on this small sample.</x:v>
      </x:c>
      <x:c r="B28" s="294"/>
      <x:c r="C28" s="294"/>
      <x:c r="D28" s="294"/>
      <x:c r="E28" s="294"/>
      <x:c r="F28" s="294"/>
      <x:c r="G28" s="294"/>
      <x:c r="H28" s="294"/>
      <x:c r="I28" s="294"/>
      <x:c r="J28" s="294"/>
      <x:c r="K28" s="294"/>
      <x:c r="L28" s="294"/>
      <x:c r="M28" s="294"/>
      <x:c r="N28" s="294"/>
      <x:c r="O28" s="294"/>
    </x:row>
    <x:row r="29">
      <x:c r="A29" s="294"/>
      <x:c r="B29" s="294"/>
      <x:c r="C29" s="294"/>
      <x:c r="D29" s="294"/>
      <x:c r="E29" s="294"/>
      <x:c r="F29" s="294"/>
      <x:c r="G29" s="294"/>
      <x:c r="H29" s="294"/>
      <x:c r="I29" s="294"/>
      <x:c r="J29" s="294"/>
      <x:c r="K29" s="294"/>
      <x:c r="L29" s="294"/>
      <x:c r="M29" s="294"/>
      <x:c r="N29" s="294"/>
      <x:c r="O29" s="294"/>
    </x:row>
    <x:row r="30">
      <x:c r="A30" s="294"/>
      <x:c r="B30" s="294"/>
      <x:c r="C30" s="294"/>
      <x:c r="D30" s="294"/>
      <x:c r="E30" s="294"/>
      <x:c r="F30" s="294"/>
      <x:c r="G30" s="294"/>
      <x:c r="H30" s="294"/>
      <x:c r="I30" s="294"/>
      <x:c r="J30" s="294"/>
      <x:c r="K30" s="294"/>
      <x:c r="L30" s="294"/>
      <x:c r="M30" s="294"/>
      <x:c r="N30" s="294"/>
      <x:c r="O30" s="294"/>
    </x:row>
  </x:sheetData>
  <x:mergeCells>
    <x:mergeCell ref="A1:O1"/>
    <x:mergeCell ref="A2:O2"/>
    <x:mergeCell ref="A4:D4"/>
    <x:mergeCell ref="F4:I4"/>
    <x:mergeCell ref="K4:O4"/>
    <x:mergeCell ref="A14:G14"/>
    <x:mergeCell ref="I14:O14"/>
    <x:mergeCell ref="A27:O27"/>
    <x:mergeCell ref="A28:O30"/>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0" hidden="0" customWidth="1"/>
    <x:col min="5" max="5" width="30" hidden="0" customWidth="1"/>
    <x:col min="6" max="6" width="30" hidden="0" customWidth="1"/>
    <x:col min="7" max="7" width="18" hidden="0" customWidth="1"/>
    <x:col min="8" max="8" width="34" hidden="0" customWidth="1"/>
  </x:cols>
  <x:sheetData>
    <x:row r="1" ht="30" customHeight="1">
      <x:c r="A1" s="5" t="str">
        <x:v>Five-Trade Usability Review</x:v>
      </x:c>
      <x:c r="B1" s="5"/>
      <x:c r="C1" s="5"/>
      <x:c r="D1" s="5"/>
      <x:c r="E1" s="5"/>
      <x:c r="F1" s="5"/>
      <x:c r="G1" s="5"/>
      <x:c r="H1" s="5"/>
    </x:row>
    <x:row r="2">
      <x:c r="A2" s="89" t="str">
        <x:v>Complete one row for each of the first five new trades. Timing estimates are enough; precision is not required.</x:v>
      </x:c>
      <x:c r="B2" s="89"/>
      <x:c r="C2" s="89"/>
      <x:c r="D2" s="89"/>
      <x:c r="E2" s="89"/>
      <x:c r="F2" s="89"/>
      <x:c r="G2" s="89"/>
      <x:c r="H2" s="89"/>
    </x:row>
    <x:row r="3">
      <x:c r="A3" s="239"/>
      <x:c r="B3" s="239"/>
      <x:c r="C3" s="239"/>
      <x:c r="D3" s="239"/>
      <x:c r="E3" s="239"/>
      <x:c r="F3" s="239"/>
      <x:c r="G3" s="239"/>
      <x:c r="H3" s="239"/>
    </x:row>
    <x:row r="4" ht="22" customHeight="1">
      <x:c r="A4" s="21" t="str">
        <x:v>Per-trade feedback</x:v>
      </x:c>
      <x:c r="B4" s="21"/>
      <x:c r="C4" s="21"/>
      <x:c r="D4" s="21"/>
      <x:c r="E4" s="21"/>
      <x:c r="F4" s="21"/>
      <x:c r="G4" s="21"/>
      <x:c r="H4" s="21"/>
    </x:row>
    <x:row r="5" ht="42" customHeight="1">
      <x:c r="A5" s="38" t="str">
        <x:v>Trade ID</x:v>
      </x:c>
      <x:c r="B5" s="38" t="str">
        <x:v>Entry Logging Minutes</x:v>
      </x:c>
      <x:c r="C5" s="38" t="str">
        <x:v>Exit Logging Minutes</x:v>
      </x:c>
      <x:c r="D5" s="38" t="str">
        <x:v>Confusing Fields</x:v>
      </x:c>
      <x:c r="E5" s="38" t="str">
        <x:v>Unnecessary Fields</x:v>
      </x:c>
      <x:c r="F5" s="38" t="str">
        <x:v>Missing Information</x:v>
      </x:c>
      <x:c r="G5" s="38" t="str">
        <x:v>Would Change?</x:v>
      </x:c>
      <x:c r="H5" s="38" t="str">
        <x:v>Notes</x:v>
      </x:c>
    </x:row>
    <x:row r="6" ht="38" customHeight="1">
      <x:c r="A6" s="258" t="str">
        <x:v>EF-001</x:v>
      </x:c>
      <x:c r="B6" s="305"/>
      <x:c r="C6" s="305"/>
      <x:c r="D6" s="259"/>
      <x:c r="E6" s="259"/>
      <x:c r="F6" s="259"/>
      <x:c r="G6" s="259"/>
      <x:c r="H6" s="259"/>
    </x:row>
    <x:row r="7" ht="38" customHeight="1">
      <x:c r="A7" s="258" t="str">
        <x:v>EF-002</x:v>
      </x:c>
      <x:c r="B7" s="305"/>
      <x:c r="C7" s="305"/>
      <x:c r="D7" s="259"/>
      <x:c r="E7" s="259"/>
      <x:c r="F7" s="259"/>
      <x:c r="G7" s="259"/>
      <x:c r="H7" s="259"/>
    </x:row>
    <x:row r="8" ht="38" customHeight="1">
      <x:c r="A8" s="258" t="str">
        <x:v>EF-003</x:v>
      </x:c>
      <x:c r="B8" s="305"/>
      <x:c r="C8" s="305"/>
      <x:c r="D8" s="259"/>
      <x:c r="E8" s="259"/>
      <x:c r="F8" s="259"/>
      <x:c r="G8" s="259"/>
      <x:c r="H8" s="259"/>
    </x:row>
    <x:row r="9" ht="38" customHeight="1">
      <x:c r="A9" s="258" t="str">
        <x:v>EF-004</x:v>
      </x:c>
      <x:c r="B9" s="305"/>
      <x:c r="C9" s="305"/>
      <x:c r="D9" s="259"/>
      <x:c r="E9" s="259"/>
      <x:c r="F9" s="259"/>
      <x:c r="G9" s="259"/>
      <x:c r="H9" s="259"/>
    </x:row>
    <x:row r="10" ht="38" customHeight="1">
      <x:c r="A10" s="258" t="str">
        <x:v>EF-005</x:v>
      </x:c>
      <x:c r="B10" s="305"/>
      <x:c r="C10" s="305"/>
      <x:c r="D10" s="259"/>
      <x:c r="E10" s="259"/>
      <x:c r="F10" s="259"/>
      <x:c r="G10" s="259"/>
      <x:c r="H10" s="259"/>
    </x:row>
    <x:row r="11">
      <x:c r="A11" s="239"/>
      <x:c r="B11" s="239"/>
      <x:c r="C11" s="239"/>
      <x:c r="D11" s="239"/>
      <x:c r="E11" s="239"/>
      <x:c r="F11" s="239"/>
      <x:c r="G11" s="239"/>
      <x:c r="H11" s="239"/>
    </x:row>
    <x:row r="12" ht="22" customHeight="1">
      <x:c r="A12" s="187" t="str">
        <x:v>Usability summary</x:v>
      </x:c>
      <x:c r="B12" s="187"/>
      <x:c r="C12" s="187"/>
      <x:c r="D12" s="195" t="str">
        <x:v>Overall review questions</x:v>
      </x:c>
      <x:c r="E12" s="195"/>
      <x:c r="F12" s="195"/>
      <x:c r="G12" s="195"/>
      <x:c r="H12" s="195"/>
    </x:row>
    <x:row r="13" ht="42" customHeight="1">
      <x:c r="A13" s="57" t="str">
        <x:v>Metric</x:v>
      </x:c>
      <x:c r="B13" s="57" t="str">
        <x:v>Value</x:v>
      </x:c>
      <x:c r="C13" s="239"/>
      <x:c r="D13" s="121" t="str">
        <x:v>Question</x:v>
      </x:c>
      <x:c r="E13" s="121" t="str">
        <x:v>Your Answer</x:v>
      </x:c>
      <x:c r="F13" s="121" t="str"/>
      <x:c r="G13" s="239"/>
      <x:c r="H13" s="239"/>
    </x:row>
    <x:row r="14" ht="34" customHeight="1">
      <x:c r="A14" s="239" t="str">
        <x:v>Average entry logging minutes</x:v>
      </x:c>
      <x:c r="B14" s="287" t="n">
        <x:f>IFERROR(AVERAGE(B6:B10),0)</x:f>
        <x:v>0</x:v>
      </x:c>
      <x:c r="C14" s="239"/>
      <x:c r="D14" s="239" t="str">
        <x:v>Did the journal improve decision quality?</x:v>
      </x:c>
      <x:c r="E14" s="306" t="str"/>
      <x:c r="F14" s="306" t="str"/>
      <x:c r="G14" s="239"/>
      <x:c r="H14" s="239"/>
    </x:row>
    <x:row r="15" ht="34" customHeight="1">
      <x:c r="A15" s="239" t="str">
        <x:v>Average exit logging minutes</x:v>
      </x:c>
      <x:c r="B15" s="287" t="n">
        <x:f>IFERROR(AVERAGE(C6:C10),0)</x:f>
        <x:v>0</x:v>
      </x:c>
      <x:c r="C15" s="239"/>
      <x:c r="D15" s="239" t="str">
        <x:v>Which field should be removed first?</x:v>
      </x:c>
      <x:c r="E15" s="306" t="str"/>
      <x:c r="F15" s="306" t="str"/>
      <x:c r="G15" s="239"/>
      <x:c r="H15" s="239"/>
    </x:row>
    <x:row r="16" ht="34" customHeight="1">
      <x:c r="A16" s="239" t="str">
        <x:v>Five entry logs completed?</x:v>
      </x:c>
      <x:c r="B16" s="285" t="str">
        <x:f>IF(COUNT(B6:B10)=5,"Yes","No")</x:f>
        <x:v>No</x:v>
      </x:c>
      <x:c r="C16" s="239"/>
      <x:c r="D16" s="239" t="str">
        <x:v>Which field should be added first?</x:v>
      </x:c>
      <x:c r="E16" s="306" t="str"/>
      <x:c r="F16" s="306" t="str"/>
      <x:c r="G16" s="239"/>
      <x:c r="H16" s="239"/>
    </x:row>
    <x:row r="17" ht="34" customHeight="1">
      <x:c r="A17" s="239"/>
      <x:c r="B17" s="239"/>
      <x:c r="C17" s="239"/>
      <x:c r="D17" s="239" t="str">
        <x:v>Keep using after the pilot?</x:v>
      </x:c>
      <x:c r="E17" s="306" t="str"/>
      <x:c r="F17" s="306" t="str"/>
      <x:c r="G17" s="239"/>
      <x:c r="H17" s="239"/>
    </x:row>
  </x:sheetData>
  <x:mergeCells>
    <x:mergeCell ref="A1:H1"/>
    <x:mergeCell ref="A2:H2"/>
    <x:mergeCell ref="A4:H4"/>
    <x:mergeCell ref="A12:D12"/>
    <x:mergeCell ref="D12:H12"/>
  </x:mergeCells>
  <x:dataValidations count="2">
    <x:dataValidation type="list" sqref="G6:G10">
      <x:formula1>"No,Yes - Minor,Yes - Major"</x:formula1>
    </x:dataValidation>
    <x:dataValidation type="list" sqref="E17">
      <x:formula1>"Yes,No,Unsure"</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16" hidden="0" customWidth="1"/>
    <x:col min="4" max="4" width="14" hidden="0" customWidth="1"/>
    <x:col min="5" max="5" width="14" hidden="0" customWidth="1"/>
    <x:col min="6" max="6" width="16" hidden="0" customWidth="1"/>
    <x:col min="7" max="7" width="16" hidden="0" customWidth="1"/>
    <x:col min="8" max="8" width="14" hidden="0" customWidth="1"/>
    <x:col min="9" max="9" width="16" hidden="0" customWidth="1"/>
    <x:col min="10" max="10" width="16" hidden="0" customWidth="1"/>
    <x:col min="11" max="11" width="14" hidden="0" customWidth="1"/>
    <x:col min="12" max="12" width="18" hidden="0" customWidth="1"/>
    <x:col min="13" max="13" width="30" hidden="0" customWidth="1"/>
    <x:col min="14" max="14" width="14" hidden="0" customWidth="1"/>
    <x:col min="15" max="15" width="34" hidden="0" customWidth="1"/>
  </x:cols>
  <x:sheetData>
    <x:row r="1" ht="30" customHeight="1">
      <x:c r="A1" s="5" t="str">
        <x:v>Automated Systems — Monthly Summary Only</x:v>
      </x:c>
      <x:c r="B1" s="5"/>
      <x:c r="C1" s="5"/>
      <x:c r="D1" s="5"/>
      <x:c r="E1" s="5"/>
      <x:c r="F1" s="5"/>
      <x:c r="G1" s="5"/>
      <x:c r="H1" s="5"/>
      <x:c r="I1" s="5"/>
      <x:c r="J1" s="5"/>
      <x:c r="K1" s="5"/>
      <x:c r="L1" s="5"/>
      <x:c r="M1" s="5"/>
      <x:c r="N1" s="5"/>
      <x:c r="O1" s="5"/>
    </x:row>
    <x:row r="2">
      <x:c r="A2" s="89" t="str">
        <x:v>Use for Autopilot and Calicut Commodities. Do not recreate every automated trade unless you manually intervene.</x:v>
      </x:c>
      <x:c r="B2" s="89"/>
      <x:c r="C2" s="89"/>
      <x:c r="D2" s="89"/>
      <x:c r="E2" s="89"/>
      <x:c r="F2" s="89"/>
      <x:c r="G2" s="89"/>
      <x:c r="H2" s="89"/>
      <x:c r="I2" s="89"/>
      <x:c r="J2" s="89"/>
      <x:c r="K2" s="89"/>
      <x:c r="L2" s="89"/>
      <x:c r="M2" s="89"/>
      <x:c r="N2" s="89"/>
      <x:c r="O2" s="89"/>
    </x:row>
    <x:row r="3">
      <x:c r="A3" s="239"/>
      <x:c r="B3" s="239"/>
      <x:c r="C3" s="239"/>
      <x:c r="D3" s="239"/>
      <x:c r="E3" s="239"/>
      <x:c r="F3" s="239"/>
      <x:c r="G3" s="239"/>
      <x:c r="H3" s="239"/>
      <x:c r="I3" s="239"/>
      <x:c r="J3" s="239"/>
      <x:c r="K3" s="239"/>
      <x:c r="L3" s="239"/>
      <x:c r="M3" s="239"/>
      <x:c r="N3" s="239"/>
      <x:c r="O3" s="239"/>
    </x:row>
    <x:row r="4" ht="42" customHeight="1">
      <x:c r="A4" s="38" t="str">
        <x:v>Month</x:v>
      </x:c>
      <x:c r="B4" s="38" t="str">
        <x:v>System</x:v>
      </x:c>
      <x:c r="C4" s="38" t="str">
        <x:v>Beginning Value</x:v>
      </x:c>
      <x:c r="D4" s="38" t="str">
        <x:v>Deposits</x:v>
      </x:c>
      <x:c r="E4" s="38" t="str">
        <x:v>Withdrawals</x:v>
      </x:c>
      <x:c r="F4" s="38" t="str">
        <x:v>Ending Value</x:v>
      </x:c>
      <x:c r="G4" s="38" t="str">
        <x:v>Trading P/L</x:v>
      </x:c>
      <x:c r="H4" s="38" t="str">
        <x:v>Fixed Fees</x:v>
      </x:c>
      <x:c r="I4" s="38" t="str">
        <x:v>Net After Fees</x:v>
      </x:c>
      <x:c r="J4" s="38" t="str">
        <x:v>Simple Net Return</x:v>
      </x:c>
      <x:c r="K4" s="38" t="str">
        <x:v>Max Drawdown</x:v>
      </x:c>
      <x:c r="L4" s="38" t="str">
        <x:v>Manual Intervention</x:v>
      </x:c>
      <x:c r="M4" s="38" t="str">
        <x:v>Strategy / Scaling Change</x:v>
      </x:c>
      <x:c r="N4" s="38" t="str">
        <x:v>Decision</x:v>
      </x:c>
      <x:c r="O4" s="38" t="str">
        <x:v>Notes</x:v>
      </x:c>
    </x:row>
    <x:row r="5">
      <x:c r="A5" s="309"/>
      <x:c r="B5" s="259"/>
      <x:c r="C5" s="262"/>
      <x:c r="D5" s="262"/>
      <x:c r="E5" s="262"/>
      <x:c r="F5" s="262"/>
      <x:c r="G5" s="310" t="str">
        <x:f>IF(OR($C5="",$F5=""),"",$F5-$C5-$D5+$E5)</x:f>
      </x:c>
      <x:c r="H5" s="262"/>
      <x:c r="I5" s="310" t="str">
        <x:f>IF($G5="","",$G5-$H5)</x:f>
      </x:c>
      <x:c r="J5" s="311" t="str">
        <x:f>IFERROR($I5/($C5+$D5-$E5),"")</x:f>
      </x:c>
      <x:c r="K5" s="312"/>
      <x:c r="L5" s="259"/>
      <x:c r="M5" s="259"/>
      <x:c r="N5" s="259"/>
      <x:c r="O5" s="259"/>
    </x:row>
    <x:row r="6">
      <x:c r="A6" s="309"/>
      <x:c r="B6" s="259"/>
      <x:c r="C6" s="262"/>
      <x:c r="D6" s="262"/>
      <x:c r="E6" s="262"/>
      <x:c r="F6" s="262"/>
      <x:c r="G6" s="310" t="str">
        <x:f>IF(OR($C6="",$F6=""),"",$F6-$C6-$D6+$E6)</x:f>
      </x:c>
      <x:c r="H6" s="262"/>
      <x:c r="I6" s="310" t="str">
        <x:f>IF($G6="","",$G6-$H6)</x:f>
      </x:c>
      <x:c r="J6" s="311" t="str">
        <x:f>IFERROR($I6/($C6+$D6-$E6),"")</x:f>
      </x:c>
      <x:c r="K6" s="312"/>
      <x:c r="L6" s="259"/>
      <x:c r="M6" s="259"/>
      <x:c r="N6" s="259"/>
      <x:c r="O6" s="259"/>
    </x:row>
    <x:row r="7">
      <x:c r="A7" s="309"/>
      <x:c r="B7" s="259"/>
      <x:c r="C7" s="262"/>
      <x:c r="D7" s="262"/>
      <x:c r="E7" s="262"/>
      <x:c r="F7" s="262"/>
      <x:c r="G7" s="310" t="str">
        <x:f>IF(OR($C7="",$F7=""),"",$F7-$C7-$D7+$E7)</x:f>
      </x:c>
      <x:c r="H7" s="262"/>
      <x:c r="I7" s="310" t="str">
        <x:f>IF($G7="","",$G7-$H7)</x:f>
      </x:c>
      <x:c r="J7" s="311" t="str">
        <x:f>IFERROR($I7/($C7+$D7-$E7),"")</x:f>
      </x:c>
      <x:c r="K7" s="312"/>
      <x:c r="L7" s="259"/>
      <x:c r="M7" s="259"/>
      <x:c r="N7" s="259"/>
      <x:c r="O7" s="259"/>
    </x:row>
    <x:row r="8">
      <x:c r="A8" s="309"/>
      <x:c r="B8" s="259"/>
      <x:c r="C8" s="262"/>
      <x:c r="D8" s="262"/>
      <x:c r="E8" s="262"/>
      <x:c r="F8" s="262"/>
      <x:c r="G8" s="310" t="str">
        <x:f>IF(OR($C8="",$F8=""),"",$F8-$C8-$D8+$E8)</x:f>
      </x:c>
      <x:c r="H8" s="262"/>
      <x:c r="I8" s="310" t="str">
        <x:f>IF($G8="","",$G8-$H8)</x:f>
      </x:c>
      <x:c r="J8" s="311" t="str">
        <x:f>IFERROR($I8/($C8+$D8-$E8),"")</x:f>
      </x:c>
      <x:c r="K8" s="312"/>
      <x:c r="L8" s="259"/>
      <x:c r="M8" s="259"/>
      <x:c r="N8" s="259"/>
      <x:c r="O8" s="259"/>
    </x:row>
    <x:row r="9">
      <x:c r="A9" s="309"/>
      <x:c r="B9" s="259"/>
      <x:c r="C9" s="262"/>
      <x:c r="D9" s="262"/>
      <x:c r="E9" s="262"/>
      <x:c r="F9" s="262"/>
      <x:c r="G9" s="310" t="str">
        <x:f>IF(OR($C9="",$F9=""),"",$F9-$C9-$D9+$E9)</x:f>
      </x:c>
      <x:c r="H9" s="262"/>
      <x:c r="I9" s="310" t="str">
        <x:f>IF($G9="","",$G9-$H9)</x:f>
      </x:c>
      <x:c r="J9" s="311" t="str">
        <x:f>IFERROR($I9/($C9+$D9-$E9),"")</x:f>
      </x:c>
      <x:c r="K9" s="312"/>
      <x:c r="L9" s="259"/>
      <x:c r="M9" s="259"/>
      <x:c r="N9" s="259"/>
      <x:c r="O9" s="259"/>
    </x:row>
    <x:row r="10">
      <x:c r="A10" s="309"/>
      <x:c r="B10" s="259"/>
      <x:c r="C10" s="262"/>
      <x:c r="D10" s="262"/>
      <x:c r="E10" s="262"/>
      <x:c r="F10" s="262"/>
      <x:c r="G10" s="310" t="str">
        <x:f>IF(OR($C10="",$F10=""),"",$F10-$C10-$D10+$E10)</x:f>
      </x:c>
      <x:c r="H10" s="262"/>
      <x:c r="I10" s="310" t="str">
        <x:f>IF($G10="","",$G10-$H10)</x:f>
      </x:c>
      <x:c r="J10" s="311" t="str">
        <x:f>IFERROR($I10/($C10+$D10-$E10),"")</x:f>
      </x:c>
      <x:c r="K10" s="312"/>
      <x:c r="L10" s="259"/>
      <x:c r="M10" s="259"/>
      <x:c r="N10" s="259"/>
      <x:c r="O10" s="259"/>
    </x:row>
    <x:row r="11">
      <x:c r="A11" s="309"/>
      <x:c r="B11" s="259"/>
      <x:c r="C11" s="262"/>
      <x:c r="D11" s="262"/>
      <x:c r="E11" s="262"/>
      <x:c r="F11" s="262"/>
      <x:c r="G11" s="310" t="str">
        <x:f>IF(OR($C11="",$F11=""),"",$F11-$C11-$D11+$E11)</x:f>
      </x:c>
      <x:c r="H11" s="262"/>
      <x:c r="I11" s="310" t="str">
        <x:f>IF($G11="","",$G11-$H11)</x:f>
      </x:c>
      <x:c r="J11" s="311" t="str">
        <x:f>IFERROR($I11/($C11+$D11-$E11),"")</x:f>
      </x:c>
      <x:c r="K11" s="312"/>
      <x:c r="L11" s="259"/>
      <x:c r="M11" s="259"/>
      <x:c r="N11" s="259"/>
      <x:c r="O11" s="259"/>
    </x:row>
    <x:row r="12">
      <x:c r="A12" s="309"/>
      <x:c r="B12" s="259"/>
      <x:c r="C12" s="262"/>
      <x:c r="D12" s="262"/>
      <x:c r="E12" s="262"/>
      <x:c r="F12" s="262"/>
      <x:c r="G12" s="310" t="str">
        <x:f>IF(OR($C12="",$F12=""),"",$F12-$C12-$D12+$E12)</x:f>
      </x:c>
      <x:c r="H12" s="262"/>
      <x:c r="I12" s="310" t="str">
        <x:f>IF($G12="","",$G12-$H12)</x:f>
      </x:c>
      <x:c r="J12" s="311" t="str">
        <x:f>IFERROR($I12/($C12+$D12-$E12),"")</x:f>
      </x:c>
      <x:c r="K12" s="312"/>
      <x:c r="L12" s="259"/>
      <x:c r="M12" s="259"/>
      <x:c r="N12" s="259"/>
      <x:c r="O12" s="259"/>
    </x:row>
    <x:row r="13">
      <x:c r="A13" s="309"/>
      <x:c r="B13" s="259"/>
      <x:c r="C13" s="262"/>
      <x:c r="D13" s="262"/>
      <x:c r="E13" s="262"/>
      <x:c r="F13" s="262"/>
      <x:c r="G13" s="310" t="str">
        <x:f>IF(OR($C13="",$F13=""),"",$F13-$C13-$D13+$E13)</x:f>
      </x:c>
      <x:c r="H13" s="262"/>
      <x:c r="I13" s="310" t="str">
        <x:f>IF($G13="","",$G13-$H13)</x:f>
      </x:c>
      <x:c r="J13" s="311" t="str">
        <x:f>IFERROR($I13/($C13+$D13-$E13),"")</x:f>
      </x:c>
      <x:c r="K13" s="312"/>
      <x:c r="L13" s="259"/>
      <x:c r="M13" s="259"/>
      <x:c r="N13" s="259"/>
      <x:c r="O13" s="259"/>
    </x:row>
    <x:row r="14">
      <x:c r="A14" s="309"/>
      <x:c r="B14" s="259"/>
      <x:c r="C14" s="262"/>
      <x:c r="D14" s="262"/>
      <x:c r="E14" s="262"/>
      <x:c r="F14" s="262"/>
      <x:c r="G14" s="310" t="str">
        <x:f>IF(OR($C14="",$F14=""),"",$F14-$C14-$D14+$E14)</x:f>
      </x:c>
      <x:c r="H14" s="262"/>
      <x:c r="I14" s="310" t="str">
        <x:f>IF($G14="","",$G14-$H14)</x:f>
      </x:c>
      <x:c r="J14" s="311" t="str">
        <x:f>IFERROR($I14/($C14+$D14-$E14),"")</x:f>
      </x:c>
      <x:c r="K14" s="312"/>
      <x:c r="L14" s="259"/>
      <x:c r="M14" s="259"/>
      <x:c r="N14" s="259"/>
      <x:c r="O14" s="259"/>
    </x:row>
    <x:row r="15">
      <x:c r="A15" s="309"/>
      <x:c r="B15" s="259"/>
      <x:c r="C15" s="262"/>
      <x:c r="D15" s="262"/>
      <x:c r="E15" s="262"/>
      <x:c r="F15" s="262"/>
      <x:c r="G15" s="310" t="str">
        <x:f>IF(OR($C15="",$F15=""),"",$F15-$C15-$D15+$E15)</x:f>
      </x:c>
      <x:c r="H15" s="262"/>
      <x:c r="I15" s="310" t="str">
        <x:f>IF($G15="","",$G15-$H15)</x:f>
      </x:c>
      <x:c r="J15" s="311" t="str">
        <x:f>IFERROR($I15/($C15+$D15-$E15),"")</x:f>
      </x:c>
      <x:c r="K15" s="312"/>
      <x:c r="L15" s="259"/>
      <x:c r="M15" s="259"/>
      <x:c r="N15" s="259"/>
      <x:c r="O15" s="259"/>
    </x:row>
    <x:row r="16">
      <x:c r="A16" s="309"/>
      <x:c r="B16" s="259"/>
      <x:c r="C16" s="262"/>
      <x:c r="D16" s="262"/>
      <x:c r="E16" s="262"/>
      <x:c r="F16" s="262"/>
      <x:c r="G16" s="310" t="str">
        <x:f>IF(OR($C16="",$F16=""),"",$F16-$C16-$D16+$E16)</x:f>
      </x:c>
      <x:c r="H16" s="262"/>
      <x:c r="I16" s="310" t="str">
        <x:f>IF($G16="","",$G16-$H16)</x:f>
      </x:c>
      <x:c r="J16" s="311" t="str">
        <x:f>IFERROR($I16/($C16+$D16-$E16),"")</x:f>
      </x:c>
      <x:c r="K16" s="312"/>
      <x:c r="L16" s="259"/>
      <x:c r="M16" s="259"/>
      <x:c r="N16" s="259"/>
      <x:c r="O16" s="259"/>
    </x:row>
    <x:row r="17">
      <x:c r="A17" s="309"/>
      <x:c r="B17" s="259"/>
      <x:c r="C17" s="262"/>
      <x:c r="D17" s="262"/>
      <x:c r="E17" s="262"/>
      <x:c r="F17" s="262"/>
      <x:c r="G17" s="310" t="str">
        <x:f>IF(OR($C17="",$F17=""),"",$F17-$C17-$D17+$E17)</x:f>
      </x:c>
      <x:c r="H17" s="262"/>
      <x:c r="I17" s="310" t="str">
        <x:f>IF($G17="","",$G17-$H17)</x:f>
      </x:c>
      <x:c r="J17" s="311" t="str">
        <x:f>IFERROR($I17/($C17+$D17-$E17),"")</x:f>
      </x:c>
      <x:c r="K17" s="312"/>
      <x:c r="L17" s="259"/>
      <x:c r="M17" s="259"/>
      <x:c r="N17" s="259"/>
      <x:c r="O17" s="259"/>
    </x:row>
    <x:row r="18">
      <x:c r="A18" s="309"/>
      <x:c r="B18" s="259"/>
      <x:c r="C18" s="262"/>
      <x:c r="D18" s="262"/>
      <x:c r="E18" s="262"/>
      <x:c r="F18" s="262"/>
      <x:c r="G18" s="310" t="str">
        <x:f>IF(OR($C18="",$F18=""),"",$F18-$C18-$D18+$E18)</x:f>
      </x:c>
      <x:c r="H18" s="262"/>
      <x:c r="I18" s="310" t="str">
        <x:f>IF($G18="","",$G18-$H18)</x:f>
      </x:c>
      <x:c r="J18" s="311" t="str">
        <x:f>IFERROR($I18/($C18+$D18-$E18),"")</x:f>
      </x:c>
      <x:c r="K18" s="312"/>
      <x:c r="L18" s="259"/>
      <x:c r="M18" s="259"/>
      <x:c r="N18" s="259"/>
      <x:c r="O18" s="259"/>
    </x:row>
    <x:row r="19">
      <x:c r="A19" s="309"/>
      <x:c r="B19" s="259"/>
      <x:c r="C19" s="262"/>
      <x:c r="D19" s="262"/>
      <x:c r="E19" s="262"/>
      <x:c r="F19" s="262"/>
      <x:c r="G19" s="310" t="str">
        <x:f>IF(OR($C19="",$F19=""),"",$F19-$C19-$D19+$E19)</x:f>
      </x:c>
      <x:c r="H19" s="262"/>
      <x:c r="I19" s="310" t="str">
        <x:f>IF($G19="","",$G19-$H19)</x:f>
      </x:c>
      <x:c r="J19" s="311" t="str">
        <x:f>IFERROR($I19/($C19+$D19-$E19),"")</x:f>
      </x:c>
      <x:c r="K19" s="312"/>
      <x:c r="L19" s="259"/>
      <x:c r="M19" s="259"/>
      <x:c r="N19" s="259"/>
      <x:c r="O19" s="259"/>
    </x:row>
    <x:row r="20">
      <x:c r="A20" s="309"/>
      <x:c r="B20" s="259"/>
      <x:c r="C20" s="262"/>
      <x:c r="D20" s="262"/>
      <x:c r="E20" s="262"/>
      <x:c r="F20" s="262"/>
      <x:c r="G20" s="310" t="str">
        <x:f>IF(OR($C20="",$F20=""),"",$F20-$C20-$D20+$E20)</x:f>
      </x:c>
      <x:c r="H20" s="262"/>
      <x:c r="I20" s="310" t="str">
        <x:f>IF($G20="","",$G20-$H20)</x:f>
      </x:c>
      <x:c r="J20" s="311" t="str">
        <x:f>IFERROR($I20/($C20+$D20-$E20),"")</x:f>
      </x:c>
      <x:c r="K20" s="312"/>
      <x:c r="L20" s="259"/>
      <x:c r="M20" s="259"/>
      <x:c r="N20" s="259"/>
      <x:c r="O20" s="259"/>
    </x:row>
    <x:row r="21">
      <x:c r="A21" s="309"/>
      <x:c r="B21" s="259"/>
      <x:c r="C21" s="262"/>
      <x:c r="D21" s="262"/>
      <x:c r="E21" s="262"/>
      <x:c r="F21" s="262"/>
      <x:c r="G21" s="310" t="str">
        <x:f>IF(OR($C21="",$F21=""),"",$F21-$C21-$D21+$E21)</x:f>
      </x:c>
      <x:c r="H21" s="262"/>
      <x:c r="I21" s="310" t="str">
        <x:f>IF($G21="","",$G21-$H21)</x:f>
      </x:c>
      <x:c r="J21" s="311" t="str">
        <x:f>IFERROR($I21/($C21+$D21-$E21),"")</x:f>
      </x:c>
      <x:c r="K21" s="312"/>
      <x:c r="L21" s="259"/>
      <x:c r="M21" s="259"/>
      <x:c r="N21" s="259"/>
      <x:c r="O21" s="259"/>
    </x:row>
    <x:row r="22">
      <x:c r="A22" s="309"/>
      <x:c r="B22" s="259"/>
      <x:c r="C22" s="262"/>
      <x:c r="D22" s="262"/>
      <x:c r="E22" s="262"/>
      <x:c r="F22" s="262"/>
      <x:c r="G22" s="310" t="str">
        <x:f>IF(OR($C22="",$F22=""),"",$F22-$C22-$D22+$E22)</x:f>
      </x:c>
      <x:c r="H22" s="262"/>
      <x:c r="I22" s="310" t="str">
        <x:f>IF($G22="","",$G22-$H22)</x:f>
      </x:c>
      <x:c r="J22" s="311" t="str">
        <x:f>IFERROR($I22/($C22+$D22-$E22),"")</x:f>
      </x:c>
      <x:c r="K22" s="312"/>
      <x:c r="L22" s="259"/>
      <x:c r="M22" s="259"/>
      <x:c r="N22" s="259"/>
      <x:c r="O22" s="259"/>
    </x:row>
    <x:row r="23">
      <x:c r="A23" s="309"/>
      <x:c r="B23" s="259"/>
      <x:c r="C23" s="262"/>
      <x:c r="D23" s="262"/>
      <x:c r="E23" s="262"/>
      <x:c r="F23" s="262"/>
      <x:c r="G23" s="310" t="str">
        <x:f>IF(OR($C23="",$F23=""),"",$F23-$C23-$D23+$E23)</x:f>
      </x:c>
      <x:c r="H23" s="262"/>
      <x:c r="I23" s="310" t="str">
        <x:f>IF($G23="","",$G23-$H23)</x:f>
      </x:c>
      <x:c r="J23" s="311" t="str">
        <x:f>IFERROR($I23/($C23+$D23-$E23),"")</x:f>
      </x:c>
      <x:c r="K23" s="312"/>
      <x:c r="L23" s="259"/>
      <x:c r="M23" s="259"/>
      <x:c r="N23" s="259"/>
      <x:c r="O23" s="259"/>
    </x:row>
    <x:row r="24">
      <x:c r="A24" s="309"/>
      <x:c r="B24" s="259"/>
      <x:c r="C24" s="262"/>
      <x:c r="D24" s="262"/>
      <x:c r="E24" s="262"/>
      <x:c r="F24" s="262"/>
      <x:c r="G24" s="310" t="str">
        <x:f>IF(OR($C24="",$F24=""),"",$F24-$C24-$D24+$E24)</x:f>
      </x:c>
      <x:c r="H24" s="262"/>
      <x:c r="I24" s="310" t="str">
        <x:f>IF($G24="","",$G24-$H24)</x:f>
      </x:c>
      <x:c r="J24" s="311" t="str">
        <x:f>IFERROR($I24/($C24+$D24-$E24),"")</x:f>
      </x:c>
      <x:c r="K24" s="312"/>
      <x:c r="L24" s="259"/>
      <x:c r="M24" s="259"/>
      <x:c r="N24" s="259"/>
      <x:c r="O24" s="259"/>
    </x:row>
    <x:row r="25">
      <x:c r="A25" s="309"/>
      <x:c r="B25" s="259"/>
      <x:c r="C25" s="262"/>
      <x:c r="D25" s="262"/>
      <x:c r="E25" s="262"/>
      <x:c r="F25" s="262"/>
      <x:c r="G25" s="310" t="str">
        <x:f>IF(OR($C25="",$F25=""),"",$F25-$C25-$D25+$E25)</x:f>
      </x:c>
      <x:c r="H25" s="262"/>
      <x:c r="I25" s="310" t="str">
        <x:f>IF($G25="","",$G25-$H25)</x:f>
      </x:c>
      <x:c r="J25" s="311" t="str">
        <x:f>IFERROR($I25/($C25+$D25-$E25),"")</x:f>
      </x:c>
      <x:c r="K25" s="312"/>
      <x:c r="L25" s="259"/>
      <x:c r="M25" s="259"/>
      <x:c r="N25" s="259"/>
      <x:c r="O25" s="259"/>
    </x:row>
    <x:row r="26">
      <x:c r="A26" s="309"/>
      <x:c r="B26" s="259"/>
      <x:c r="C26" s="262"/>
      <x:c r="D26" s="262"/>
      <x:c r="E26" s="262"/>
      <x:c r="F26" s="262"/>
      <x:c r="G26" s="310" t="str">
        <x:f>IF(OR($C26="",$F26=""),"",$F26-$C26-$D26+$E26)</x:f>
      </x:c>
      <x:c r="H26" s="262"/>
      <x:c r="I26" s="310" t="str">
        <x:f>IF($G26="","",$G26-$H26)</x:f>
      </x:c>
      <x:c r="J26" s="311" t="str">
        <x:f>IFERROR($I26/($C26+$D26-$E26),"")</x:f>
      </x:c>
      <x:c r="K26" s="312"/>
      <x:c r="L26" s="259"/>
      <x:c r="M26" s="259"/>
      <x:c r="N26" s="259"/>
      <x:c r="O26" s="259"/>
    </x:row>
    <x:row r="27">
      <x:c r="A27" s="309"/>
      <x:c r="B27" s="259"/>
      <x:c r="C27" s="262"/>
      <x:c r="D27" s="262"/>
      <x:c r="E27" s="262"/>
      <x:c r="F27" s="262"/>
      <x:c r="G27" s="310" t="str">
        <x:f>IF(OR($C27="",$F27=""),"",$F27-$C27-$D27+$E27)</x:f>
      </x:c>
      <x:c r="H27" s="262"/>
      <x:c r="I27" s="310" t="str">
        <x:f>IF($G27="","",$G27-$H27)</x:f>
      </x:c>
      <x:c r="J27" s="311" t="str">
        <x:f>IFERROR($I27/($C27+$D27-$E27),"")</x:f>
      </x:c>
      <x:c r="K27" s="312"/>
      <x:c r="L27" s="259"/>
      <x:c r="M27" s="259"/>
      <x:c r="N27" s="259"/>
      <x:c r="O27" s="259"/>
    </x:row>
    <x:row r="28">
      <x:c r="A28" s="309"/>
      <x:c r="B28" s="259"/>
      <x:c r="C28" s="262"/>
      <x:c r="D28" s="262"/>
      <x:c r="E28" s="262"/>
      <x:c r="F28" s="262"/>
      <x:c r="G28" s="310" t="str">
        <x:f>IF(OR($C28="",$F28=""),"",$F28-$C28-$D28+$E28)</x:f>
      </x:c>
      <x:c r="H28" s="262"/>
      <x:c r="I28" s="310" t="str">
        <x:f>IF($G28="","",$G28-$H28)</x:f>
      </x:c>
      <x:c r="J28" s="311" t="str">
        <x:f>IFERROR($I28/($C28+$D28-$E28),"")</x:f>
      </x:c>
      <x:c r="K28" s="312"/>
      <x:c r="L28" s="259"/>
      <x:c r="M28" s="259"/>
      <x:c r="N28" s="259"/>
      <x:c r="O28" s="259"/>
    </x:row>
    <x:row r="29">
      <x:c r="A29" s="309"/>
      <x:c r="B29" s="259"/>
      <x:c r="C29" s="262"/>
      <x:c r="D29" s="262"/>
      <x:c r="E29" s="262"/>
      <x:c r="F29" s="262"/>
      <x:c r="G29" s="310" t="str">
        <x:f>IF(OR($C29="",$F29=""),"",$F29-$C29-$D29+$E29)</x:f>
      </x:c>
      <x:c r="H29" s="262"/>
      <x:c r="I29" s="310" t="str">
        <x:f>IF($G29="","",$G29-$H29)</x:f>
      </x:c>
      <x:c r="J29" s="311" t="str">
        <x:f>IFERROR($I29/($C29+$D29-$E29),"")</x:f>
      </x:c>
      <x:c r="K29" s="312"/>
      <x:c r="L29" s="259"/>
      <x:c r="M29" s="259"/>
      <x:c r="N29" s="259"/>
      <x:c r="O29" s="259"/>
    </x:row>
    <x:row r="30">
      <x:c r="A30" s="309"/>
      <x:c r="B30" s="259"/>
      <x:c r="C30" s="262"/>
      <x:c r="D30" s="262"/>
      <x:c r="E30" s="262"/>
      <x:c r="F30" s="262"/>
      <x:c r="G30" s="310" t="str">
        <x:f>IF(OR($C30="",$F30=""),"",$F30-$C30-$D30+$E30)</x:f>
      </x:c>
      <x:c r="H30" s="262"/>
      <x:c r="I30" s="310" t="str">
        <x:f>IF($G30="","",$G30-$H30)</x:f>
      </x:c>
      <x:c r="J30" s="311" t="str">
        <x:f>IFERROR($I30/($C30+$D30-$E30),"")</x:f>
      </x:c>
      <x:c r="K30" s="312"/>
      <x:c r="L30" s="259"/>
      <x:c r="M30" s="259"/>
      <x:c r="N30" s="259"/>
      <x:c r="O30" s="259"/>
    </x:row>
    <x:row r="31">
      <x:c r="A31" s="309"/>
      <x:c r="B31" s="259"/>
      <x:c r="C31" s="262"/>
      <x:c r="D31" s="262"/>
      <x:c r="E31" s="262"/>
      <x:c r="F31" s="262"/>
      <x:c r="G31" s="310" t="str">
        <x:f>IF(OR($C31="",$F31=""),"",$F31-$C31-$D31+$E31)</x:f>
      </x:c>
      <x:c r="H31" s="262"/>
      <x:c r="I31" s="310" t="str">
        <x:f>IF($G31="","",$G31-$H31)</x:f>
      </x:c>
      <x:c r="J31" s="311" t="str">
        <x:f>IFERROR($I31/($C31+$D31-$E31),"")</x:f>
      </x:c>
      <x:c r="K31" s="312"/>
      <x:c r="L31" s="259"/>
      <x:c r="M31" s="259"/>
      <x:c r="N31" s="259"/>
      <x:c r="O31" s="259"/>
    </x:row>
    <x:row r="32">
      <x:c r="A32" s="309"/>
      <x:c r="B32" s="259"/>
      <x:c r="C32" s="262"/>
      <x:c r="D32" s="262"/>
      <x:c r="E32" s="262"/>
      <x:c r="F32" s="262"/>
      <x:c r="G32" s="310" t="str">
        <x:f>IF(OR($C32="",$F32=""),"",$F32-$C32-$D32+$E32)</x:f>
      </x:c>
      <x:c r="H32" s="262"/>
      <x:c r="I32" s="310" t="str">
        <x:f>IF($G32="","",$G32-$H32)</x:f>
      </x:c>
      <x:c r="J32" s="311" t="str">
        <x:f>IFERROR($I32/($C32+$D32-$E32),"")</x:f>
      </x:c>
      <x:c r="K32" s="312"/>
      <x:c r="L32" s="259"/>
      <x:c r="M32" s="259"/>
      <x:c r="N32" s="259"/>
      <x:c r="O32" s="259"/>
    </x:row>
    <x:row r="33">
      <x:c r="A33" s="309"/>
      <x:c r="B33" s="259"/>
      <x:c r="C33" s="262"/>
      <x:c r="D33" s="262"/>
      <x:c r="E33" s="262"/>
      <x:c r="F33" s="262"/>
      <x:c r="G33" s="310" t="str">
        <x:f>IF(OR($C33="",$F33=""),"",$F33-$C33-$D33+$E33)</x:f>
      </x:c>
      <x:c r="H33" s="262"/>
      <x:c r="I33" s="310" t="str">
        <x:f>IF($G33="","",$G33-$H33)</x:f>
      </x:c>
      <x:c r="J33" s="311" t="str">
        <x:f>IFERROR($I33/($C33+$D33-$E33),"")</x:f>
      </x:c>
      <x:c r="K33" s="312"/>
      <x:c r="L33" s="259"/>
      <x:c r="M33" s="259"/>
      <x:c r="N33" s="259"/>
      <x:c r="O33" s="259"/>
    </x:row>
    <x:row r="34">
      <x:c r="A34" s="309"/>
      <x:c r="B34" s="259"/>
      <x:c r="C34" s="262"/>
      <x:c r="D34" s="262"/>
      <x:c r="E34" s="262"/>
      <x:c r="F34" s="262"/>
      <x:c r="G34" s="310" t="str">
        <x:f>IF(OR($C34="",$F34=""),"",$F34-$C34-$D34+$E34)</x:f>
      </x:c>
      <x:c r="H34" s="262"/>
      <x:c r="I34" s="310" t="str">
        <x:f>IF($G34="","",$G34-$H34)</x:f>
      </x:c>
      <x:c r="J34" s="311" t="str">
        <x:f>IFERROR($I34/($C34+$D34-$E34),"")</x:f>
      </x:c>
      <x:c r="K34" s="312"/>
      <x:c r="L34" s="259"/>
      <x:c r="M34" s="259"/>
      <x:c r="N34" s="259"/>
      <x:c r="O34" s="259"/>
    </x:row>
    <x:row r="35">
      <x:c r="A35" s="309"/>
      <x:c r="B35" s="259"/>
      <x:c r="C35" s="262"/>
      <x:c r="D35" s="262"/>
      <x:c r="E35" s="262"/>
      <x:c r="F35" s="262"/>
      <x:c r="G35" s="310" t="str">
        <x:f>IF(OR($C35="",$F35=""),"",$F35-$C35-$D35+$E35)</x:f>
      </x:c>
      <x:c r="H35" s="262"/>
      <x:c r="I35" s="310" t="str">
        <x:f>IF($G35="","",$G35-$H35)</x:f>
      </x:c>
      <x:c r="J35" s="311" t="str">
        <x:f>IFERROR($I35/($C35+$D35-$E35),"")</x:f>
      </x:c>
      <x:c r="K35" s="312"/>
      <x:c r="L35" s="259"/>
      <x:c r="M35" s="259"/>
      <x:c r="N35" s="259"/>
      <x:c r="O35" s="259"/>
    </x:row>
    <x:row r="36">
      <x:c r="A36" s="309"/>
      <x:c r="B36" s="259"/>
      <x:c r="C36" s="262"/>
      <x:c r="D36" s="262"/>
      <x:c r="E36" s="262"/>
      <x:c r="F36" s="262"/>
      <x:c r="G36" s="310" t="str">
        <x:f>IF(OR($C36="",$F36=""),"",$F36-$C36-$D36+$E36)</x:f>
      </x:c>
      <x:c r="H36" s="262"/>
      <x:c r="I36" s="310" t="str">
        <x:f>IF($G36="","",$G36-$H36)</x:f>
      </x:c>
      <x:c r="J36" s="311" t="str">
        <x:f>IFERROR($I36/($C36+$D36-$E36),"")</x:f>
      </x:c>
      <x:c r="K36" s="312"/>
      <x:c r="L36" s="259"/>
      <x:c r="M36" s="259"/>
      <x:c r="N36" s="259"/>
      <x:c r="O36" s="259"/>
    </x:row>
    <x:row r="37">
      <x:c r="A37" s="309"/>
      <x:c r="B37" s="259"/>
      <x:c r="C37" s="262"/>
      <x:c r="D37" s="262"/>
      <x:c r="E37" s="262"/>
      <x:c r="F37" s="262"/>
      <x:c r="G37" s="310" t="str">
        <x:f>IF(OR($C37="",$F37=""),"",$F37-$C37-$D37+$E37)</x:f>
      </x:c>
      <x:c r="H37" s="262"/>
      <x:c r="I37" s="310" t="str">
        <x:f>IF($G37="","",$G37-$H37)</x:f>
      </x:c>
      <x:c r="J37" s="311" t="str">
        <x:f>IFERROR($I37/($C37+$D37-$E37),"")</x:f>
      </x:c>
      <x:c r="K37" s="312"/>
      <x:c r="L37" s="259"/>
      <x:c r="M37" s="259"/>
      <x:c r="N37" s="259"/>
      <x:c r="O37" s="259"/>
    </x:row>
    <x:row r="38">
      <x:c r="A38" s="309"/>
      <x:c r="B38" s="259"/>
      <x:c r="C38" s="262"/>
      <x:c r="D38" s="262"/>
      <x:c r="E38" s="262"/>
      <x:c r="F38" s="262"/>
      <x:c r="G38" s="310" t="str">
        <x:f>IF(OR($C38="",$F38=""),"",$F38-$C38-$D38+$E38)</x:f>
      </x:c>
      <x:c r="H38" s="262"/>
      <x:c r="I38" s="310" t="str">
        <x:f>IF($G38="","",$G38-$H38)</x:f>
      </x:c>
      <x:c r="J38" s="311" t="str">
        <x:f>IFERROR($I38/($C38+$D38-$E38),"")</x:f>
      </x:c>
      <x:c r="K38" s="312"/>
      <x:c r="L38" s="259"/>
      <x:c r="M38" s="259"/>
      <x:c r="N38" s="259"/>
      <x:c r="O38" s="259"/>
    </x:row>
    <x:row r="39">
      <x:c r="A39" s="309"/>
      <x:c r="B39" s="259"/>
      <x:c r="C39" s="262"/>
      <x:c r="D39" s="262"/>
      <x:c r="E39" s="262"/>
      <x:c r="F39" s="262"/>
      <x:c r="G39" s="310" t="str">
        <x:f>IF(OR($C39="",$F39=""),"",$F39-$C39-$D39+$E39)</x:f>
      </x:c>
      <x:c r="H39" s="262"/>
      <x:c r="I39" s="310" t="str">
        <x:f>IF($G39="","",$G39-$H39)</x:f>
      </x:c>
      <x:c r="J39" s="311" t="str">
        <x:f>IFERROR($I39/($C39+$D39-$E39),"")</x:f>
      </x:c>
      <x:c r="K39" s="312"/>
      <x:c r="L39" s="259"/>
      <x:c r="M39" s="259"/>
      <x:c r="N39" s="259"/>
      <x:c r="O39" s="259"/>
    </x:row>
    <x:row r="40">
      <x:c r="A40" s="309"/>
      <x:c r="B40" s="259"/>
      <x:c r="C40" s="262"/>
      <x:c r="D40" s="262"/>
      <x:c r="E40" s="262"/>
      <x:c r="F40" s="262"/>
      <x:c r="G40" s="310" t="str">
        <x:f>IF(OR($C40="",$F40=""),"",$F40-$C40-$D40+$E40)</x:f>
      </x:c>
      <x:c r="H40" s="262"/>
      <x:c r="I40" s="310" t="str">
        <x:f>IF($G40="","",$G40-$H40)</x:f>
      </x:c>
      <x:c r="J40" s="311" t="str">
        <x:f>IFERROR($I40/($C40+$D40-$E40),"")</x:f>
      </x:c>
      <x:c r="K40" s="312"/>
      <x:c r="L40" s="259"/>
      <x:c r="M40" s="259"/>
      <x:c r="N40" s="259"/>
      <x:c r="O40" s="259"/>
    </x:row>
    <x:row r="41">
      <x:c r="A41" s="239"/>
      <x:c r="B41" s="239"/>
      <x:c r="C41" s="239"/>
      <x:c r="D41" s="239"/>
      <x:c r="E41" s="239"/>
      <x:c r="F41" s="239"/>
      <x:c r="G41" s="239"/>
      <x:c r="H41" s="239"/>
      <x:c r="I41" s="239"/>
      <x:c r="J41" s="239"/>
      <x:c r="K41" s="239"/>
      <x:c r="L41" s="239"/>
      <x:c r="M41" s="239"/>
      <x:c r="N41" s="239"/>
      <x:c r="O41" s="239"/>
    </x:row>
    <x:row r="42">
      <x:c r="A42" s="239"/>
      <x:c r="B42" s="239"/>
      <x:c r="C42" s="239"/>
      <x:c r="D42" s="239"/>
      <x:c r="E42" s="239"/>
      <x:c r="F42" s="239"/>
      <x:c r="G42" s="239"/>
      <x:c r="H42" s="239"/>
      <x:c r="I42" s="239"/>
      <x:c r="J42" s="239"/>
      <x:c r="K42" s="239"/>
      <x:c r="L42" s="239"/>
      <x:c r="M42" s="239"/>
      <x:c r="N42" s="239"/>
      <x:c r="O42" s="239"/>
    </x:row>
    <x:row r="43" ht="22" customHeight="1">
      <x:c r="A43" s="187" t="str">
        <x:v>Monthly source costs (optional)</x:v>
      </x:c>
      <x:c r="B43" s="187"/>
      <x:c r="C43" s="187"/>
      <x:c r="D43" s="187"/>
      <x:c r="E43" s="239"/>
      <x:c r="F43" s="239"/>
      <x:c r="G43" s="239"/>
      <x:c r="H43" s="239"/>
      <x:c r="I43" s="239"/>
      <x:c r="J43" s="239"/>
      <x:c r="K43" s="239"/>
      <x:c r="L43" s="239"/>
      <x:c r="M43" s="239"/>
      <x:c r="N43" s="239"/>
      <x:c r="O43" s="239"/>
    </x:row>
    <x:row r="44" ht="42" customHeight="1">
      <x:c r="A44" s="57" t="str">
        <x:v>Month</x:v>
      </x:c>
      <x:c r="B44" s="57" t="str">
        <x:v>Service</x:v>
      </x:c>
      <x:c r="C44" s="57" t="str">
        <x:v>Fee</x:v>
      </x:c>
      <x:c r="D44" s="57" t="str">
        <x:v>Notes</x:v>
      </x:c>
      <x:c r="E44" s="239"/>
      <x:c r="F44" s="239"/>
      <x:c r="G44" s="239"/>
      <x:c r="H44" s="239"/>
      <x:c r="I44" s="239"/>
      <x:c r="J44" s="239"/>
      <x:c r="K44" s="239"/>
      <x:c r="L44" s="239"/>
      <x:c r="M44" s="239"/>
      <x:c r="N44" s="239"/>
      <x:c r="O44" s="239"/>
    </x:row>
    <x:row r="45">
      <x:c r="A45" s="309"/>
      <x:c r="B45" s="259"/>
      <x:c r="C45" s="262"/>
      <x:c r="D45" s="259"/>
      <x:c r="E45" s="239"/>
      <x:c r="F45" s="239"/>
      <x:c r="G45" s="239"/>
      <x:c r="H45" s="239"/>
      <x:c r="I45" s="239"/>
      <x:c r="J45" s="239"/>
      <x:c r="K45" s="239"/>
      <x:c r="L45" s="239"/>
      <x:c r="M45" s="239"/>
      <x:c r="N45" s="239"/>
      <x:c r="O45" s="239"/>
    </x:row>
    <x:row r="46">
      <x:c r="A46" s="309"/>
      <x:c r="B46" s="259"/>
      <x:c r="C46" s="262"/>
      <x:c r="D46" s="259"/>
      <x:c r="E46" s="239"/>
      <x:c r="F46" s="239"/>
      <x:c r="G46" s="239"/>
      <x:c r="H46" s="239"/>
      <x:c r="I46" s="239"/>
      <x:c r="J46" s="239"/>
      <x:c r="K46" s="239"/>
      <x:c r="L46" s="239"/>
      <x:c r="M46" s="239"/>
      <x:c r="N46" s="239"/>
      <x:c r="O46" s="239"/>
    </x:row>
    <x:row r="47">
      <x:c r="A47" s="309"/>
      <x:c r="B47" s="259"/>
      <x:c r="C47" s="262"/>
      <x:c r="D47" s="259"/>
      <x:c r="E47" s="239"/>
      <x:c r="F47" s="239"/>
      <x:c r="G47" s="239"/>
      <x:c r="H47" s="239"/>
      <x:c r="I47" s="239"/>
      <x:c r="J47" s="239"/>
      <x:c r="K47" s="239"/>
      <x:c r="L47" s="239"/>
      <x:c r="M47" s="239"/>
      <x:c r="N47" s="239"/>
      <x:c r="O47" s="239"/>
    </x:row>
    <x:row r="48">
      <x:c r="A48" s="309"/>
      <x:c r="B48" s="259"/>
      <x:c r="C48" s="262"/>
      <x:c r="D48" s="259"/>
      <x:c r="E48" s="239"/>
      <x:c r="F48" s="239"/>
      <x:c r="G48" s="239"/>
      <x:c r="H48" s="239"/>
      <x:c r="I48" s="239"/>
      <x:c r="J48" s="239"/>
      <x:c r="K48" s="239"/>
      <x:c r="L48" s="239"/>
      <x:c r="M48" s="239"/>
      <x:c r="N48" s="239"/>
      <x:c r="O48" s="239"/>
    </x:row>
    <x:row r="49">
      <x:c r="A49" s="309"/>
      <x:c r="B49" s="259"/>
      <x:c r="C49" s="262"/>
      <x:c r="D49" s="259"/>
      <x:c r="E49" s="239"/>
      <x:c r="F49" s="239"/>
      <x:c r="G49" s="239"/>
      <x:c r="H49" s="239"/>
      <x:c r="I49" s="239"/>
      <x:c r="J49" s="239"/>
      <x:c r="K49" s="239"/>
      <x:c r="L49" s="239"/>
      <x:c r="M49" s="239"/>
      <x:c r="N49" s="239"/>
      <x:c r="O49" s="239"/>
    </x:row>
    <x:row r="50">
      <x:c r="A50" s="309"/>
      <x:c r="B50" s="259"/>
      <x:c r="C50" s="262"/>
      <x:c r="D50" s="259"/>
      <x:c r="E50" s="239"/>
      <x:c r="F50" s="239"/>
      <x:c r="G50" s="239"/>
      <x:c r="H50" s="239"/>
      <x:c r="I50" s="239"/>
      <x:c r="J50" s="239"/>
      <x:c r="K50" s="239"/>
      <x:c r="L50" s="239"/>
      <x:c r="M50" s="239"/>
      <x:c r="N50" s="239"/>
      <x:c r="O50" s="239"/>
    </x:row>
    <x:row r="51">
      <x:c r="A51" s="309"/>
      <x:c r="B51" s="259"/>
      <x:c r="C51" s="262"/>
      <x:c r="D51" s="259"/>
      <x:c r="E51" s="239"/>
      <x:c r="F51" s="239"/>
      <x:c r="G51" s="239"/>
      <x:c r="H51" s="239"/>
      <x:c r="I51" s="239"/>
      <x:c r="J51" s="239"/>
      <x:c r="K51" s="239"/>
      <x:c r="L51" s="239"/>
      <x:c r="M51" s="239"/>
      <x:c r="N51" s="239"/>
      <x:c r="O51" s="239"/>
    </x:row>
    <x:row r="52">
      <x:c r="A52" s="309"/>
      <x:c r="B52" s="259"/>
      <x:c r="C52" s="262"/>
      <x:c r="D52" s="259"/>
      <x:c r="E52" s="239"/>
      <x:c r="F52" s="239"/>
      <x:c r="G52" s="239"/>
      <x:c r="H52" s="239"/>
      <x:c r="I52" s="239"/>
      <x:c r="J52" s="239"/>
      <x:c r="K52" s="239"/>
      <x:c r="L52" s="239"/>
      <x:c r="M52" s="239"/>
      <x:c r="N52" s="239"/>
      <x:c r="O52" s="239"/>
    </x:row>
    <x:row r="53">
      <x:c r="A53" s="309"/>
      <x:c r="B53" s="259"/>
      <x:c r="C53" s="262"/>
      <x:c r="D53" s="259"/>
      <x:c r="E53" s="239"/>
      <x:c r="F53" s="239"/>
      <x:c r="G53" s="239"/>
      <x:c r="H53" s="239"/>
      <x:c r="I53" s="239"/>
      <x:c r="J53" s="239"/>
      <x:c r="K53" s="239"/>
      <x:c r="L53" s="239"/>
      <x:c r="M53" s="239"/>
      <x:c r="N53" s="239"/>
      <x:c r="O53" s="239"/>
    </x:row>
    <x:row r="54">
      <x:c r="A54" s="309"/>
      <x:c r="B54" s="259"/>
      <x:c r="C54" s="262"/>
      <x:c r="D54" s="259"/>
      <x:c r="E54" s="239"/>
      <x:c r="F54" s="239"/>
      <x:c r="G54" s="239"/>
      <x:c r="H54" s="239"/>
      <x:c r="I54" s="239"/>
      <x:c r="J54" s="239"/>
      <x:c r="K54" s="239"/>
      <x:c r="L54" s="239"/>
      <x:c r="M54" s="239"/>
      <x:c r="N54" s="239"/>
      <x:c r="O54" s="239"/>
    </x:row>
    <x:row r="55">
      <x:c r="A55" s="309"/>
      <x:c r="B55" s="259"/>
      <x:c r="C55" s="262"/>
      <x:c r="D55" s="259"/>
      <x:c r="E55" s="239"/>
      <x:c r="F55" s="239"/>
      <x:c r="G55" s="239"/>
      <x:c r="H55" s="239"/>
      <x:c r="I55" s="239"/>
      <x:c r="J55" s="239"/>
      <x:c r="K55" s="239"/>
      <x:c r="L55" s="239"/>
      <x:c r="M55" s="239"/>
      <x:c r="N55" s="239"/>
      <x:c r="O55" s="239"/>
    </x:row>
    <x:row r="56">
      <x:c r="A56" s="309"/>
      <x:c r="B56" s="259"/>
      <x:c r="C56" s="262"/>
      <x:c r="D56" s="259"/>
      <x:c r="E56" s="239"/>
      <x:c r="F56" s="239"/>
      <x:c r="G56" s="239"/>
      <x:c r="H56" s="239"/>
      <x:c r="I56" s="239"/>
      <x:c r="J56" s="239"/>
      <x:c r="K56" s="239"/>
      <x:c r="L56" s="239"/>
      <x:c r="M56" s="239"/>
      <x:c r="N56" s="239"/>
      <x:c r="O56" s="239"/>
    </x:row>
    <x:row r="57">
      <x:c r="A57" s="309"/>
      <x:c r="B57" s="259"/>
      <x:c r="C57" s="262"/>
      <x:c r="D57" s="259"/>
      <x:c r="E57" s="239"/>
      <x:c r="F57" s="239"/>
      <x:c r="G57" s="239"/>
      <x:c r="H57" s="239"/>
      <x:c r="I57" s="239"/>
      <x:c r="J57" s="239"/>
      <x:c r="K57" s="239"/>
      <x:c r="L57" s="239"/>
      <x:c r="M57" s="239"/>
      <x:c r="N57" s="239"/>
      <x:c r="O57" s="239"/>
    </x:row>
    <x:row r="58">
      <x:c r="A58" s="309"/>
      <x:c r="B58" s="259"/>
      <x:c r="C58" s="262"/>
      <x:c r="D58" s="259"/>
      <x:c r="E58" s="239"/>
      <x:c r="F58" s="239"/>
      <x:c r="G58" s="239"/>
      <x:c r="H58" s="239"/>
      <x:c r="I58" s="239"/>
      <x:c r="J58" s="239"/>
      <x:c r="K58" s="239"/>
      <x:c r="L58" s="239"/>
      <x:c r="M58" s="239"/>
      <x:c r="N58" s="239"/>
      <x:c r="O58" s="239"/>
    </x:row>
    <x:row r="59">
      <x:c r="A59" s="309"/>
      <x:c r="B59" s="259"/>
      <x:c r="C59" s="262"/>
      <x:c r="D59" s="259"/>
      <x:c r="E59" s="239"/>
      <x:c r="F59" s="239"/>
      <x:c r="G59" s="239"/>
      <x:c r="H59" s="239"/>
      <x:c r="I59" s="239"/>
      <x:c r="J59" s="239"/>
      <x:c r="K59" s="239"/>
      <x:c r="L59" s="239"/>
      <x:c r="M59" s="239"/>
      <x:c r="N59" s="239"/>
      <x:c r="O59" s="239"/>
    </x:row>
    <x:row r="60">
      <x:c r="A60" s="309"/>
      <x:c r="B60" s="259"/>
      <x:c r="C60" s="262"/>
      <x:c r="D60" s="259"/>
      <x:c r="E60" s="239"/>
      <x:c r="F60" s="239"/>
      <x:c r="G60" s="239"/>
      <x:c r="H60" s="239"/>
      <x:c r="I60" s="239"/>
      <x:c r="J60" s="239"/>
      <x:c r="K60" s="239"/>
      <x:c r="L60" s="239"/>
      <x:c r="M60" s="239"/>
      <x:c r="N60" s="239"/>
      <x:c r="O60" s="239"/>
    </x:row>
    <x:row r="61">
      <x:c r="A61" s="309"/>
      <x:c r="B61" s="259"/>
      <x:c r="C61" s="262"/>
      <x:c r="D61" s="259"/>
      <x:c r="E61" s="239"/>
      <x:c r="F61" s="239"/>
      <x:c r="G61" s="239"/>
      <x:c r="H61" s="239"/>
      <x:c r="I61" s="239"/>
      <x:c r="J61" s="239"/>
      <x:c r="K61" s="239"/>
      <x:c r="L61" s="239"/>
      <x:c r="M61" s="239"/>
      <x:c r="N61" s="239"/>
      <x:c r="O61" s="239"/>
    </x:row>
    <x:row r="62">
      <x:c r="A62" s="309"/>
      <x:c r="B62" s="259"/>
      <x:c r="C62" s="262"/>
      <x:c r="D62" s="259"/>
      <x:c r="E62" s="239"/>
      <x:c r="F62" s="239"/>
      <x:c r="G62" s="239"/>
      <x:c r="H62" s="239"/>
      <x:c r="I62" s="239"/>
      <x:c r="J62" s="239"/>
      <x:c r="K62" s="239"/>
      <x:c r="L62" s="239"/>
      <x:c r="M62" s="239"/>
      <x:c r="N62" s="239"/>
      <x:c r="O62" s="239"/>
    </x:row>
    <x:row r="63">
      <x:c r="A63" s="309"/>
      <x:c r="B63" s="259"/>
      <x:c r="C63" s="262"/>
      <x:c r="D63" s="259"/>
      <x:c r="E63" s="239"/>
      <x:c r="F63" s="239"/>
      <x:c r="G63" s="239"/>
      <x:c r="H63" s="239"/>
      <x:c r="I63" s="239"/>
      <x:c r="J63" s="239"/>
      <x:c r="K63" s="239"/>
      <x:c r="L63" s="239"/>
      <x:c r="M63" s="239"/>
      <x:c r="N63" s="239"/>
      <x:c r="O63" s="239"/>
    </x:row>
    <x:row r="64">
      <x:c r="A64" s="309"/>
      <x:c r="B64" s="259"/>
      <x:c r="C64" s="262"/>
      <x:c r="D64" s="259"/>
      <x:c r="E64" s="239"/>
      <x:c r="F64" s="239"/>
      <x:c r="G64" s="239"/>
      <x:c r="H64" s="239"/>
      <x:c r="I64" s="239"/>
      <x:c r="J64" s="239"/>
      <x:c r="K64" s="239"/>
      <x:c r="L64" s="239"/>
      <x:c r="M64" s="239"/>
      <x:c r="N64" s="239"/>
      <x:c r="O64" s="239"/>
    </x:row>
  </x:sheetData>
  <x:mergeCells>
    <x:mergeCell ref="A1:O1"/>
    <x:mergeCell ref="A2:O2"/>
    <x:mergeCell ref="A43:D43"/>
  </x:mergeCells>
  <x:dataValidations count="4">
    <x:dataValidation type="list" sqref="B5:B40">
      <x:formula1>"Autopilot,Calicut Commodities,Other"</x:formula1>
    </x:dataValidation>
    <x:dataValidation type="list" sqref="L5:L40">
      <x:formula1>"No,Yes"</x:formula1>
    </x:dataValidation>
    <x:dataValidation type="list" sqref="N5:N40">
      <x:formula1>"Continue,Review,Reduce,Pause,Stop"</x:formula1>
    </x:dataValidation>
    <x:dataValidation type="list" sqref="B45:B64">
      <x:formula1>"Tickeron,Simply Wall St,TradingView,Collective2,Calicut Commodities,Other"</x:formula1>
    </x:dataValidation>
  </x:dataValidations>
  <x:pageMargins left="0.7" right="0.7" top="0.75" bottom="0.75" header="0.3" footer="0.3"/>
  <x:tableParts count="2">
    <x:tablePart xmlns:r="http://schemas.openxmlformats.org/officeDocument/2006/relationships" r:id="R9fca9fe044174fec"/>
    <x:tablePart xmlns:r="http://schemas.openxmlformats.org/officeDocument/2006/relationships" r:id="R9b7f5e5d083b461a"/>
  </x:tableParts>
</x:worksheet>
</file>

<file path=xl/worksheets/sheet7.xml><?xml version="1.0" encoding="utf-8"?>
<x:worksheet xmlns:x="http://schemas.openxmlformats.org/spreadsheetml/2006/main">
  <x:sheetFormatPr defaultRowHeight="15"/>
  <x:cols>
    <x:col min="1" max="1" width="24" hidden="0" customWidth="1"/>
    <x:col min="2" max="2" width="20" hidden="0" customWidth="1"/>
    <x:col min="3" max="3" width="34" hidden="0" customWidth="1"/>
    <x:col min="4" max="4" width="38" hidden="0" customWidth="1"/>
    <x:col min="5" max="5" width="38" hidden="0" customWidth="1"/>
    <x:col min="6" max="6" width="24" hidden="0" customWidth="1"/>
    <x:col min="7" max="7" width="26" hidden="0" customWidth="1"/>
    <x:col min="8" max="8" width="34" hidden="0" customWidth="1"/>
  </x:cols>
  <x:sheetData>
    <x:row r="1" ht="30" customHeight="1">
      <x:c r="A1" s="5" t="str">
        <x:v>Setup &amp; Source Guide</x:v>
      </x:c>
      <x:c r="B1" s="5"/>
      <x:c r="C1" s="5"/>
      <x:c r="D1" s="5"/>
      <x:c r="E1" s="5"/>
      <x:c r="F1" s="5"/>
      <x:c r="G1" s="5"/>
      <x:c r="H1" s="5"/>
    </x:row>
    <x:row r="2">
      <x:c r="A2" s="89" t="str">
        <x:v>Reference definitions used by the pilot. These are testing labels, not claims of proven edge.</x:v>
      </x:c>
      <x:c r="B2" s="89"/>
      <x:c r="C2" s="89"/>
      <x:c r="D2" s="89"/>
      <x:c r="E2" s="89"/>
      <x:c r="F2" s="89"/>
      <x:c r="G2" s="89"/>
      <x:c r="H2" s="89"/>
    </x:row>
    <x:row r="3">
      <x:c r="A3" s="239"/>
      <x:c r="B3" s="239"/>
      <x:c r="C3" s="239"/>
      <x:c r="D3" s="239"/>
      <x:c r="E3" s="239"/>
      <x:c r="F3" s="239"/>
      <x:c r="G3" s="239"/>
      <x:c r="H3" s="239"/>
    </x:row>
    <x:row r="4" ht="22" customHeight="1">
      <x:c r="A4" s="21" t="str">
        <x:v>Source architecture</x:v>
      </x:c>
      <x:c r="B4" s="21"/>
      <x:c r="C4" s="21"/>
      <x:c r="D4" s="21"/>
      <x:c r="E4" s="21"/>
      <x:c r="F4" s="21"/>
      <x:c r="G4" s="21"/>
      <x:c r="H4" s="21"/>
    </x:row>
    <x:row r="5" ht="42" customHeight="1">
      <x:c r="A5" s="38" t="str">
        <x:v>Source</x:v>
      </x:c>
      <x:c r="B5" s="38" t="str">
        <x:v>Current Role</x:v>
      </x:c>
      <x:c r="C5" s="38" t="str">
        <x:v>Control Model</x:v>
      </x:c>
      <x:c r="D5" s="38" t="str">
        <x:v>Primary Breakdown</x:v>
      </x:c>
      <x:c r="E5" s="38" t="str">
        <x:v>Trade Authorization</x:v>
      </x:c>
      <x:c r="F5" s="239"/>
      <x:c r="G5" s="239"/>
      <x:c r="H5" s="239"/>
    </x:row>
    <x:row r="6" ht="48" customHeight="1">
      <x:c r="A6" s="240" t="str">
        <x:v>Robinhood Social</x:v>
      </x:c>
      <x:c r="B6" s="240" t="str">
        <x:v>Creator supplies idea/thesis</x:v>
      </x:c>
      <x:c r="C6" s="240" t="str">
        <x:v>Self-Directed MTF</x:v>
      </x:c>
      <x:c r="D6" s="240" t="str">
        <x:v>sheklemaster, ballsycalls, michaelbfit, pharmgirl</x:v>
      </x:c>
      <x:c r="E6" s="240" t="str">
        <x:v>Your MTF setup, trigger, stop, target, and risk</x:v>
      </x:c>
      <x:c r="F6" s="239"/>
      <x:c r="G6" s="239"/>
      <x:c r="H6" s="239"/>
    </x:row>
    <x:row r="7" ht="48" customHeight="1">
      <x:c r="A7" s="240" t="str">
        <x:v>Simply Wall St</x:v>
      </x:c>
      <x:c r="B7" s="240" t="str">
        <x:v>Valuation/fundamental candidate</x:v>
      </x:c>
      <x:c r="C7" s="240" t="str">
        <x:v>Self-Directed MTF</x:v>
      </x:c>
      <x:c r="D7" s="240" t="str">
        <x:v>Email, Investing Ideas, undervalued/overvalued</x:v>
      </x:c>
      <x:c r="E7" s="240" t="str">
        <x:v>Your MTF setup and risk plan</x:v>
      </x:c>
      <x:c r="F7" s="239"/>
      <x:c r="G7" s="239"/>
      <x:c r="H7" s="239"/>
    </x:row>
    <x:row r="8" ht="48" customHeight="1">
      <x:c r="A8" s="240" t="str">
        <x:v>Tickeron</x:v>
      </x:c>
      <x:c r="B8" s="240" t="str">
        <x:v>Provider supplies signal and exit</x:v>
      </x:c>
      <x:c r="C8" s="240" t="str">
        <x:v>Provider-Directed</x:v>
      </x:c>
      <x:c r="D8" s="240" t="str">
        <x:v>Healthcare/Biotech Bot, Ticker Alerts, AI Trend Prediction, AI Patterns</x:v>
      </x:c>
      <x:c r="E8" s="240" t="str">
        <x:v>Tickeron entry range, stop/target, and exit</x:v>
      </x:c>
      <x:c r="F8" s="239"/>
      <x:c r="G8" s="239"/>
      <x:c r="H8" s="239"/>
    </x:row>
    <x:row r="9" ht="48" customHeight="1">
      <x:c r="A9" s="240" t="str">
        <x:v>Moomoo</x:v>
      </x:c>
      <x:c r="B9" s="240" t="str">
        <x:v>Exploratory candidate generation</x:v>
      </x:c>
      <x:c r="C9" s="240" t="str">
        <x:v>Self-Directed MTF</x:v>
      </x:c>
      <x:c r="D9" s="240" t="str">
        <x:v>AI News Alerts; Fundamental, Options, Technical Engines</x:v>
      </x:c>
      <x:c r="E9" s="240" t="str">
        <x:v>Your MTF setup and risk plan</x:v>
      </x:c>
      <x:c r="F9" s="239"/>
      <x:c r="G9" s="239"/>
      <x:c r="H9" s="239"/>
    </x:row>
    <x:row r="10" ht="48" customHeight="1">
      <x:c r="A10" s="240" t="str">
        <x:v>Own Research</x:v>
      </x:c>
      <x:c r="B10" s="240" t="str">
        <x:v>You generate the idea</x:v>
      </x:c>
      <x:c r="C10" s="240" t="str">
        <x:v>Self-Directed MTF</x:v>
      </x:c>
      <x:c r="D10" s="240" t="str">
        <x:v>Direct chart/research work</x:v>
      </x:c>
      <x:c r="E10" s="240" t="str">
        <x:v>Your MTF setup and risk plan</x:v>
      </x:c>
      <x:c r="F10" s="239"/>
      <x:c r="G10" s="239"/>
      <x:c r="H10" s="239"/>
    </x:row>
    <x:row r="11">
      <x:c r="A11" s="239"/>
      <x:c r="B11" s="239"/>
      <x:c r="C11" s="239"/>
      <x:c r="D11" s="239"/>
      <x:c r="E11" s="239"/>
      <x:c r="F11" s="239"/>
      <x:c r="G11" s="239"/>
      <x:c r="H11" s="239"/>
    </x:row>
    <x:row r="12" ht="22" customHeight="1">
      <x:c r="A12" s="187" t="str">
        <x:v>Strategy / setup catalog</x:v>
      </x:c>
      <x:c r="B12" s="187"/>
      <x:c r="C12" s="187"/>
      <x:c r="D12" s="187"/>
      <x:c r="E12" s="187"/>
      <x:c r="F12" s="195" t="str">
        <x:v>MTF technical process</x:v>
      </x:c>
      <x:c r="G12" s="195"/>
      <x:c r="H12" s="195"/>
    </x:row>
    <x:row r="13" ht="42" customHeight="1">
      <x:c r="A13" s="57" t="str">
        <x:v>Setup</x:v>
      </x:c>
      <x:c r="B13" s="57" t="str">
        <x:v>Status</x:v>
      </x:c>
      <x:c r="C13" s="57" t="str">
        <x:v>Core Definition</x:v>
      </x:c>
      <x:c r="D13" s="57" t="str">
        <x:v>Current Use</x:v>
      </x:c>
      <x:c r="E13" s="239"/>
      <x:c r="F13" s="121" t="str">
        <x:v>Layer</x:v>
      </x:c>
      <x:c r="G13" s="121" t="str">
        <x:v>Configuration</x:v>
      </x:c>
      <x:c r="H13" s="121" t="str">
        <x:v>Purpose</x:v>
      </x:c>
    </x:row>
    <x:row r="14" ht="42" customHeight="1">
      <x:c r="A14" s="240" t="str">
        <x:v>Support Bounce</x:v>
      </x:c>
      <x:c r="B14" s="240" t="str">
        <x:v>Active - Testing</x:v>
      </x:c>
      <x:c r="C14" s="240" t="str">
        <x:v>Price holds an established support area and turns upward.</x:v>
      </x:c>
      <x:c r="D14" s="240" t="str">
        <x:v>Eligible when support, trigger, invalidation, and target are documented.</x:v>
      </x:c>
      <x:c r="E14" s="239"/>
      <x:c r="F14" s="240" t="str">
        <x:v>Larger structure</x:v>
      </x:c>
      <x:c r="G14" s="240" t="str">
        <x:v>1-year lookback / weekly candles</x:v>
      </x:c>
      <x:c r="H14" s="240" t="str">
        <x:v>Trend and major support/resistance</x:v>
      </x:c>
    </x:row>
    <x:row r="15" ht="42" customHeight="1">
      <x:c r="A15" s="240" t="str">
        <x:v>Support Reclaim</x:v>
      </x:c>
      <x:c r="B15" s="240" t="str">
        <x:v>Candidate</x:v>
      </x:c>
      <x:c r="C15" s="240" t="str">
        <x:v>Price loses a level, then recovers and holds it.</x:v>
      </x:c>
      <x:c r="D15" s="240" t="str">
        <x:v>Track separately from a bounce.</x:v>
      </x:c>
      <x:c r="E15" s="239"/>
      <x:c r="F15" s="240" t="str">
        <x:v>Current setup</x:v>
      </x:c>
      <x:c r="G15" s="240" t="str">
        <x:v>6- and 3-month / daily candles</x:v>
      </x:c>
      <x:c r="H15" s="240" t="str">
        <x:v>Setup, price zone, 9/20/200 SMA, RSI</x:v>
      </x:c>
    </x:row>
    <x:row r="16" ht="42" customHeight="1">
      <x:c r="A16" s="240" t="str">
        <x:v>Breakout</x:v>
      </x:c>
      <x:c r="B16" s="240" t="str">
        <x:v>Candidate</x:v>
      </x:c>
      <x:c r="C16" s="240" t="str">
        <x:v>Price moves above defined resistance.</x:v>
      </x:c>
      <x:c r="D16" s="240" t="str">
        <x:v>Must record intrabar, close, or retest confirmation.</x:v>
      </x:c>
      <x:c r="E16" s="239"/>
      <x:c r="F16" s="240" t="str">
        <x:v>Entry timing</x:v>
      </x:c>
      <x:c r="G16" s="240" t="str">
        <x:v>Under 1 month / 4-hour candles</x:v>
      </x:c>
      <x:c r="H16" s="240" t="str">
        <x:v>Exact trigger and near-term levels</x:v>
      </x:c>
    </x:row>
    <x:row r="17" ht="42" customHeight="1">
      <x:c r="A17" s="240" t="str">
        <x:v>Pullback in Uptrend</x:v>
      </x:c>
      <x:c r="B17" s="240" t="str">
        <x:v>Candidate</x:v>
      </x:c>
      <x:c r="C17" s="240" t="str">
        <x:v>Price retraces within a larger uptrend, then resumes upward.</x:v>
      </x:c>
      <x:c r="D17" s="240" t="str">
        <x:v>Needs trend and pullback rules.</x:v>
      </x:c>
      <x:c r="E17" s="239"/>
      <x:c r="F17" s="240" t="str">
        <x:v>RSI</x:v>
      </x:c>
      <x:c r="G17" s="240" t="str">
        <x:v>RSI(14); 20 oversold, 80 overbought</x:v>
      </x:c>
      <x:c r="H17" s="240" t="str">
        <x:v>Research tag until setup rules are proven</x:v>
      </x:c>
    </x:row>
    <x:row r="18" ht="42" customHeight="1">
      <x:c r="A18" s="240" t="str">
        <x:v>Momentum Continuation</x:v>
      </x:c>
      <x:c r="B18" s="240" t="str">
        <x:v>Candidate</x:v>
      </x:c>
      <x:c r="C18" s="240" t="str">
        <x:v>Existing directional move resumes after consolidation.</x:v>
      </x:c>
      <x:c r="D18" s="240" t="str">
        <x:v>Needs anti-chasing rules.</x:v>
      </x:c>
      <x:c r="E18" s="239"/>
      <x:c r="F18" s="240" t="str">
        <x:v>MACD</x:v>
      </x:c>
      <x:c r="G18" s="240" t="str">
        <x:v>Record observable state only</x:v>
      </x:c>
      <x:c r="H18" s="240" t="str">
        <x:v>No checklist score or veto yet</x:v>
      </x:c>
    </x:row>
    <x:row r="19" ht="42" customHeight="1">
      <x:c r="A19" s="240" t="str">
        <x:v>Oversold Reversal</x:v>
      </x:c>
      <x:c r="B19" s="240" t="str">
        <x:v>Experimental</x:v>
      </x:c>
      <x:c r="C19" s="240" t="str">
        <x:v>RSI(14) reaches 20 or below and price action confirms reversal.</x:v>
      </x:c>
      <x:c r="D19" s="240" t="str">
        <x:v>Reduced-risk or paper testing until refined.</x:v>
      </x:c>
      <x:c r="E19" s="239"/>
      <x:c r="F19" s="240" t="str">
        <x:v>Context</x:v>
      </x:c>
      <x:c r="G19" s="240" t="str">
        <x:v>Short-interest trend and analyst ratings</x:v>
      </x:c>
      <x:c r="H19" s="240" t="str">
        <x:v>Track influence; do not assume predictive value</x:v>
      </x:c>
    </x:row>
    <x:row r="20" ht="48" customHeight="1">
      <x:c r="A20" s="240" t="str">
        <x:v>Overbought Reversal</x:v>
      </x:c>
      <x:c r="B20" s="240" t="str">
        <x:v>Experimental</x:v>
      </x:c>
      <x:c r="C20" s="240" t="str">
        <x:v>RSI(14) reaches 80 or above and a bearish/exit use is defined.</x:v>
      </x:c>
      <x:c r="D20" s="240" t="str">
        <x:v>Track bearish entry, long exit, and avoid-long separately.</x:v>
      </x:c>
      <x:c r="E20" s="239"/>
      <x:c r="F20" s="239"/>
      <x:c r="G20" s="239"/>
      <x:c r="H20" s="239"/>
    </x:row>
    <x:row r="21" ht="48" customHeight="1">
      <x:c r="A21" s="240" t="str">
        <x:v>Tickeron Signal-Following</x:v>
      </x:c>
      <x:c r="B21" s="240" t="str">
        <x:v>Active - Testing</x:v>
      </x:c>
      <x:c r="C21" s="240" t="str">
        <x:v>Take provider signal within range and follow provider stop/target/exit.</x:v>
      </x:c>
      <x:c r="D21" s="240" t="str">
        <x:v>Track capture rate, slippage, and deviations.</x:v>
      </x:c>
      <x:c r="E21" s="239"/>
      <x:c r="F21" s="239"/>
      <x:c r="G21" s="239"/>
      <x:c r="H21" s="239"/>
    </x:row>
    <x:row r="22">
      <x:c r="A22" s="239"/>
      <x:c r="B22" s="239"/>
      <x:c r="C22" s="239"/>
      <x:c r="D22" s="239"/>
      <x:c r="E22" s="239"/>
      <x:c r="F22" s="239"/>
      <x:c r="G22" s="239"/>
      <x:c r="H22" s="239"/>
    </x:row>
    <x:row r="23" ht="22" customHeight="1">
      <x:c r="A23" s="231" t="str">
        <x:v>Tickeron execution statuses</x:v>
      </x:c>
      <x:c r="B23" s="231"/>
      <x:c r="C23" s="231"/>
      <x:c r="D23" s="231"/>
      <x:c r="E23" s="231"/>
      <x:c r="F23" s="76" t="str">
        <x:v>Pilot interpretation</x:v>
      </x:c>
      <x:c r="G23" s="76"/>
      <x:c r="H23" s="76"/>
    </x:row>
    <x:row r="24" ht="42" customHeight="1">
      <x:c r="A24" s="111" t="str">
        <x:v>Status</x:v>
      </x:c>
      <x:c r="B24" s="111" t="str">
        <x:v>Meaning</x:v>
      </x:c>
      <x:c r="C24" s="111" t="str"/>
      <x:c r="D24" s="111" t="str"/>
      <x:c r="E24" s="239"/>
      <x:c r="F24" s="317" t="str">
        <x:v>After five trades: assess usability only.
After ten closed trades: activate a preliminary performance review.
Do not declare a strategy effective or ineffective from a handful of outcomes. Separate strategy failure from execution failure.</x:v>
      </x:c>
      <x:c r="G24" s="317"/>
      <x:c r="H24" s="317"/>
    </x:row>
    <x:row r="25">
      <x:c r="A25" s="240" t="str">
        <x:v>Taken - Within Range</x:v>
      </x:c>
      <x:c r="B25" s="240" t="str">
        <x:v>Entered while price remained in provider range.</x:v>
      </x:c>
      <x:c r="C25" s="240" t="str"/>
      <x:c r="D25" s="240" t="str"/>
      <x:c r="E25" s="239"/>
      <x:c r="F25" s="317"/>
      <x:c r="G25" s="317"/>
      <x:c r="H25" s="317"/>
    </x:row>
    <x:row r="26">
      <x:c r="A26" s="240" t="str">
        <x:v>Missed - Late / Out of Range</x:v>
      </x:c>
      <x:c r="B26" s="240" t="str">
        <x:v>Saw signal after the entry range had passed; did not chase.</x:v>
      </x:c>
      <x:c r="C26" s="240" t="str"/>
      <x:c r="D26" s="240" t="str"/>
      <x:c r="E26" s="239"/>
      <x:c r="F26" s="317"/>
      <x:c r="G26" s="317"/>
      <x:c r="H26" s="317"/>
    </x:row>
    <x:row r="27">
      <x:c r="A27" s="240" t="str">
        <x:v>Skipped - Risk Capacity</x:v>
      </x:c>
      <x:c r="B27" s="240" t="str">
        <x:v>Signal was valid but portfolio risk capacity was unavailable.</x:v>
      </x:c>
      <x:c r="C27" s="240" t="str"/>
      <x:c r="D27" s="240" t="str"/>
      <x:c r="E27" s="239"/>
      <x:c r="F27" s="317"/>
      <x:c r="G27" s="317"/>
      <x:c r="H27" s="317"/>
    </x:row>
    <x:row r="28">
      <x:c r="A28" s="240" t="str">
        <x:v>Skipped - Operational</x:v>
      </x:c>
      <x:c r="B28" s="240" t="str">
        <x:v>Account, timing, or instrument restriction prevented entry.</x:v>
      </x:c>
      <x:c r="C28" s="240" t="str"/>
      <x:c r="D28" s="240" t="str"/>
      <x:c r="E28" s="239"/>
      <x:c r="F28" s="317"/>
      <x:c r="G28" s="317"/>
      <x:c r="H28" s="317"/>
    </x:row>
    <x:row r="29">
      <x:c r="A29" s="240" t="str">
        <x:v>Discretionary Skip</x:v>
      </x:c>
      <x:c r="B29" s="240" t="str">
        <x:v>Signal was actionable but deliberately not followed.</x:v>
      </x:c>
      <x:c r="C29" s="240" t="str"/>
      <x:c r="D29" s="240" t="str"/>
      <x:c r="E29" s="239"/>
      <x:c r="F29" s="317"/>
      <x:c r="G29" s="317"/>
      <x:c r="H29" s="317"/>
    </x:row>
    <x:row r="30">
      <x:c r="A30" s="240" t="str">
        <x:v>Modified Entry</x:v>
      </x:c>
      <x:c r="B30" s="240" t="str">
        <x:v>Entered outside the stated range or materially changed the entry.</x:v>
      </x:c>
      <x:c r="C30" s="240" t="str"/>
      <x:c r="D30" s="240" t="str"/>
      <x:c r="E30" s="239"/>
      <x:c r="F30" s="239"/>
      <x:c r="G30" s="239"/>
      <x:c r="H30" s="239"/>
    </x:row>
    <x:row r="31">
      <x:c r="A31" s="240" t="str">
        <x:v>Override</x:v>
      </x:c>
      <x:c r="B31" s="240" t="str">
        <x:v>Changed provider stop, target, or exit plan.</x:v>
      </x:c>
      <x:c r="C31" s="240" t="str"/>
      <x:c r="D31" s="240" t="str"/>
      <x:c r="E31" s="239"/>
      <x:c r="F31" s="239"/>
      <x:c r="G31" s="239"/>
      <x:c r="H31" s="239"/>
    </x:row>
  </x:sheetData>
  <x:mergeCells>
    <x:mergeCell ref="A1:H1"/>
    <x:mergeCell ref="A2:H2"/>
    <x:mergeCell ref="A4:H4"/>
    <x:mergeCell ref="A12:H12"/>
    <x:mergeCell ref="F12:H12"/>
    <x:mergeCell ref="A23:H23"/>
    <x:mergeCell ref="F23:H23"/>
    <x:mergeCell ref="F24:H29"/>
  </x:mergeCells>
  <x:pageMargins left="0.7" right="0.7" top="0.75" bottom="0.75" header="0.3" footer="0.3"/>
</x:worksheet>
</file>