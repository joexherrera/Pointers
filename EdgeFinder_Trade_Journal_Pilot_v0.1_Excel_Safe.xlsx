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ee14a58fe984152" /></Relationships>
</file>

<file path=xl/workbook.xml><?xml version="1.0" encoding="utf-8"?>
<x:workbook xmlns:x="http://schemas.openxmlformats.org/spreadsheetml/2006/main">
  <x:sheets>
    <x:sheet xmlns:r="http://schemas.openxmlformats.org/officeDocument/2006/relationships" name="Start Here" sheetId="1" r:id="Rf9c976cd563d46d9"/>
    <x:sheet xmlns:r="http://schemas.openxmlformats.org/officeDocument/2006/relationships" name="Trade Journal" sheetId="2" r:id="R5e78856030f54659"/>
    <x:sheet xmlns:r="http://schemas.openxmlformats.org/officeDocument/2006/relationships" name="Candidate Log" sheetId="3" r:id="Re801b5d7b16941df"/>
    <x:sheet xmlns:r="http://schemas.openxmlformats.org/officeDocument/2006/relationships" name="Dashboard" sheetId="4" r:id="R13ebd019046944d2"/>
    <x:sheet xmlns:r="http://schemas.openxmlformats.org/officeDocument/2006/relationships" name="Pilot Feedback" sheetId="5" r:id="Ra2b6a260707940ba"/>
    <x:sheet xmlns:r="http://schemas.openxmlformats.org/officeDocument/2006/relationships" name="Automated Monthly" sheetId="6" r:id="Re01263b2cc6b449f"/>
    <x:sheet xmlns:r="http://schemas.openxmlformats.org/officeDocument/2006/relationships" name="Setup Guide" sheetId="7" r:id="R0771509bd33d4a13"/>
  </x:sheets>
</x:workbook>
</file>

<file path=xl/sharedStrings.xml><?xml version="1.0" encoding="utf-8"?>
<x:sst xmlns:x="http://schemas.openxmlformats.org/spreadsheetml/2006/main"/>
</file>

<file path=xl/styles.xml><?xml version="1.0" encoding="utf-8"?>
<x:styleSheet xmlns:x="http://schemas.openxmlformats.org/spreadsheetml/2006/main">
  <x:numFmts count="8">
    <x:numFmt numFmtId="200" formatCode="yyyy-mm-dd"/>
    <x:numFmt numFmtId="201" formatCode="#,##0.00;[Red](#,##0.00);-"/>
    <x:numFmt numFmtId="202" formatCode="$#,##0.00;[Red]($#,##0.00);-"/>
    <x:numFmt numFmtId="203" formatCode="0.00&quot;R&quot;;[Red](0.00&quot;R&quot;);-"/>
    <x:numFmt numFmtId="204" formatCode="#,##0;[Red](#,##0);-"/>
    <x:numFmt numFmtId="205" formatCode="0.0"/>
    <x:numFmt numFmtId="206" formatCode="0.0%;[Red](0.0%);-"/>
    <x:numFmt numFmtId="207" formatCode="mmm yyyy"/>
  </x:numFmts>
  <x:fonts count="14">
    <x:font>
      <x:sz val="11"/>
      <x:name val="Carlito"/>
    </x:font>
    <x:font>
      <x:b/>
      <x:sz val="16"/>
      <x:color rgb="FFFFFFFF"/>
      <x:name val="Carlito"/>
    </x:font>
    <x:font>
      <x:b/>
      <x:sz val="11"/>
      <x:color rgb="FF17365D"/>
      <x:name val="Carlito"/>
    </x:font>
    <x:font>
      <x:b/>
      <x:sz val="11"/>
      <x:color rgb="FFFFFFFF"/>
      <x:name val="Carlito"/>
    </x:font>
    <x:font>
      <x:b/>
      <x:sz val="10"/>
      <x:color rgb="FFFFFFFF"/>
      <x:name val="Carlito"/>
    </x:font>
    <x:font>
      <x:sz val="10"/>
      <x:name val="Carlito"/>
    </x:font>
    <x:font>
      <x:b/>
      <x:sz val="11"/>
      <x:color rgb="FF0000FF"/>
      <x:name val="Carlito"/>
    </x:font>
    <x:font>
      <x:b/>
      <x:sz val="11"/>
      <x:name val="Carlito"/>
    </x:font>
    <x:font>
      <x:b/>
      <x:sz val="11"/>
      <x:color rgb="FF7030A0"/>
      <x:name val="Carlito"/>
    </x:font>
    <x:font>
      <x:sz val="10"/>
      <x:color rgb="FF0000FF"/>
      <x:name val="Carlito"/>
    </x:font>
    <x:font>
      <x:sz val="10"/>
      <x:color rgb="FFC65911"/>
      <x:name val="Carlito"/>
    </x:font>
    <x:font>
      <x:sz val="10"/>
      <x:color rgb="FF000000"/>
      <x:name val="Carlito"/>
    </x:font>
    <x:font>
      <x:sz val="10"/>
      <x:color rgb="FF7030A0"/>
      <x:name val="Carlito"/>
    </x:font>
    <x:font>
      <x:i/>
      <x:sz val="11"/>
      <x:color rgb="FF595959"/>
      <x:name val="Carlito"/>
    </x:font>
  </x:fonts>
  <x:fills count="15">
    <x:fill>
      <x:patternFill patternType="none"/>
    </x:fill>
    <x:fill>
      <x:patternFill patternType="gray125"/>
    </x:fill>
    <x:fill>
      <x:patternFill patternType="solid">
        <x:fgColor rgb="FF17365D"/>
      </x:patternFill>
    </x:fill>
    <x:fill>
      <x:patternFill patternType="solid">
        <x:fgColor rgb="FFD9E1F2"/>
      </x:patternFill>
    </x:fill>
    <x:fill>
      <x:patternFill patternType="solid">
        <x:fgColor rgb="FF1F4E78"/>
      </x:patternFill>
    </x:fill>
    <x:fill>
      <x:patternFill patternType="solid">
        <x:fgColor rgb="FFEAF3FF"/>
      </x:patternFill>
    </x:fill>
    <x:fill>
      <x:patternFill patternType="solid">
        <x:fgColor rgb="FF0F6B78"/>
      </x:patternFill>
    </x:fill>
    <x:fill>
      <x:patternFill patternType="solid">
        <x:fgColor rgb="FFE2F0D9"/>
      </x:patternFill>
    </x:fill>
    <x:fill>
      <x:patternFill patternType="solid">
        <x:fgColor rgb="FFF2EAF7"/>
      </x:patternFill>
    </x:fill>
    <x:fill>
      <x:patternFill patternType="solid">
        <x:fgColor rgb="FF548235"/>
      </x:patternFill>
    </x:fill>
    <x:fill>
      <x:patternFill patternType="solid">
        <x:fgColor rgb="FF595959"/>
      </x:patternFill>
    </x:fill>
    <x:fill>
      <x:patternFill patternType="solid">
        <x:fgColor rgb="FFC65911"/>
      </x:patternFill>
    </x:fill>
    <x:fill>
      <x:patternFill patternType="solid">
        <x:fgColor rgb="FF7030A0"/>
      </x:patternFill>
    </x:fill>
    <x:fill>
      <x:patternFill patternType="solid">
        <x:fgColor rgb="FFF2F2F2"/>
      </x:patternFill>
    </x:fill>
    <x:fill>
      <x:patternFill patternType="solid">
        <x:fgColor rgb="FFFCE4D6"/>
      </x:patternFill>
    </x:fill>
  </x:fills>
  <x:borders count="2">
    <x:border/>
    <x:border/>
  </x:borders>
  <x:cellStyleXfs count="1">
    <x:xf numFmtId="0" fontId="0" fillId="0" borderId="0"/>
  </x:cellStyleXfs>
  <x:cellXfs count="18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vertical="center"/>
    </x:xf>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2" fillId="0" borderId="0" xfId="0" applyNumberFormat="1" applyFont="1" applyFill="1" applyBorder="1"/>
    <x:xf numFmtId="0" fontId="2" fillId="0" borderId="0" xfId="0" applyNumberFormat="1" applyFont="1" applyFill="1" applyBorder="1" applyAlignment="1">
      <x:alignment horizontal="center"/>
    </x:xf>
    <x:xf numFmtId="0" fontId="2" fillId="0" borderId="1" xfId="0" applyNumberFormat="1" applyFont="1" applyFill="1" applyBorder="1"/>
    <x:xf numFmtId="0" fontId="2" fillId="0" borderId="1" xfId="0" applyNumberFormat="1" applyFont="1" applyFill="1" applyBorder="1" applyAlignment="1">
      <x:alignment horizontal="center"/>
    </x:xf>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horizontal="center" wrapText="1"/>
    </x:xf>
    <x:xf numFmtId="0" fontId="4" fillId="4" borderId="0" xfId="0" applyNumberFormat="1" applyFont="1" applyFill="1" applyBorder="1" applyAlignment="1">
      <x:alignment horizontal="center" vertical="center" wrapText="1"/>
    </x:xf>
    <x:xf numFmtId="0" fontId="4" fillId="4" borderId="1" xfId="0" applyNumberFormat="1" applyFont="1" applyFill="1" applyBorder="1"/>
    <x:xf numFmtId="0" fontId="4" fillId="4" borderId="1" xfId="0" applyNumberFormat="1" applyFont="1" applyFill="1" applyBorder="1" applyAlignment="1">
      <x:alignment wrapText="1"/>
    </x:xf>
    <x:xf numFmtId="0" fontId="4" fillId="4" borderId="1" xfId="0" applyNumberFormat="1" applyFont="1" applyFill="1" applyBorder="1" applyAlignment="1">
      <x:alignment horizontal="center" wrapText="1"/>
    </x:xf>
    <x:xf numFmtId="0" fontId="4" fillId="4" borderId="1" xfId="0" applyNumberFormat="1" applyFont="1" applyFill="1" applyBorder="1" applyAlignment="1">
      <x:alignment horizontal="center" vertical="center"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top" wrapText="1"/>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wrapText="1"/>
    </x:xf>
    <x:xf numFmtId="0" fontId="5" fillId="5" borderId="1" xfId="0" applyNumberFormat="1" applyFont="1" applyFill="1" applyBorder="1" applyAlignment="1">
      <x:alignment vertical="top"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4" fillId="6" borderId="0" xfId="0" applyNumberFormat="1" applyFont="1" applyFill="1" applyBorder="1" applyAlignment="1">
      <x:alignment horizontal="center" wrapText="1"/>
    </x:xf>
    <x:xf numFmtId="0" fontId="4" fillId="6" borderId="0" xfId="0" applyNumberFormat="1" applyFont="1" applyFill="1" applyBorder="1" applyAlignment="1">
      <x:alignment horizontal="center" vertical="center" wrapText="1"/>
    </x:xf>
    <x:xf numFmtId="0" fontId="0" fillId="6" borderId="1" xfId="0" applyNumberFormat="1" applyFont="1" applyFill="1" applyBorder="1"/>
    <x:xf numFmtId="0" fontId="4" fillId="6" borderId="1" xfId="0" applyNumberFormat="1" applyFont="1" applyFill="1" applyBorder="1"/>
    <x:xf numFmtId="0" fontId="4" fillId="6" borderId="1" xfId="0" applyNumberFormat="1" applyFont="1" applyFill="1" applyBorder="1" applyAlignment="1">
      <x:alignment wrapText="1"/>
    </x:xf>
    <x:xf numFmtId="0" fontId="4" fillId="6" borderId="1" xfId="0" applyNumberFormat="1" applyFont="1" applyFill="1" applyBorder="1" applyAlignment="1">
      <x:alignment horizontal="center" wrapText="1"/>
    </x:xf>
    <x:xf numFmtId="0" fontId="4" fillId="6" borderId="1" xfId="0" applyNumberFormat="1" applyFont="1" applyFill="1" applyBorder="1" applyAlignment="1">
      <x:alignment horizontal="center" vertical="center" wrapText="1"/>
    </x:xf>
    <x:xf numFmtId="0" fontId="6" fillId="5" borderId="0" xfId="0" applyNumberFormat="1" applyFont="1" applyFill="1" applyBorder="1"/>
    <x:xf numFmtId="0" fontId="6" fillId="5" borderId="1" xfId="0" applyNumberFormat="1" applyFont="1" applyFill="1" applyBorder="1"/>
    <x:xf numFmtId="0" fontId="0" fillId="7" borderId="0" xfId="0" applyNumberFormat="1" applyFont="1" applyFill="1" applyBorder="1"/>
    <x:xf numFmtId="0" fontId="7" fillId="7" borderId="0" xfId="0" applyNumberFormat="1" applyFont="1" applyFill="1" applyBorder="1"/>
    <x:xf numFmtId="0" fontId="0" fillId="7" borderId="1" xfId="0" applyNumberFormat="1" applyFont="1" applyFill="1" applyBorder="1"/>
    <x:xf numFmtId="0" fontId="7" fillId="7" borderId="1" xfId="0" applyNumberFormat="1" applyFont="1" applyFill="1" applyBorder="1"/>
    <x:xf numFmtId="0" fontId="0" fillId="8" borderId="0" xfId="0" applyNumberFormat="1" applyFont="1" applyFill="1" applyBorder="1"/>
    <x:xf numFmtId="0" fontId="8" fillId="8" borderId="0" xfId="0" applyNumberFormat="1" applyFont="1" applyFill="1" applyBorder="1"/>
    <x:xf numFmtId="0" fontId="0" fillId="8" borderId="1" xfId="0" applyNumberFormat="1" applyFont="1" applyFill="1" applyBorder="1"/>
    <x:xf numFmtId="0" fontId="8" fillId="8" borderId="1" xfId="0" applyNumberFormat="1" applyFont="1" applyFill="1" applyBorder="1"/>
    <x:xf numFmtId="0" fontId="0" fillId="9" borderId="0" xfId="0" applyNumberFormat="1" applyFont="1" applyFill="1" applyBorder="1"/>
    <x:xf numFmtId="0" fontId="3" fillId="9" borderId="0" xfId="0" applyNumberFormat="1" applyFont="1" applyFill="1" applyBorder="1"/>
    <x:xf numFmtId="0" fontId="3" fillId="9" borderId="0" xfId="0" applyNumberFormat="1" applyFont="1" applyFill="1" applyBorder="1" applyAlignment="1">
      <x:alignment vertical="center"/>
    </x:xf>
    <x:xf numFmtId="0" fontId="0" fillId="9" borderId="1" xfId="0" applyNumberFormat="1" applyFont="1" applyFill="1" applyBorder="1"/>
    <x:xf numFmtId="0" fontId="3" fillId="9" borderId="1" xfId="0" applyNumberFormat="1" applyFont="1" applyFill="1" applyBorder="1"/>
    <x:xf numFmtId="0" fontId="3" fillId="9" borderId="1" xfId="0" applyNumberFormat="1" applyFont="1" applyFill="1" applyBorder="1" applyAlignment="1">
      <x:alignment vertical="center"/>
    </x:xf>
    <x:xf numFmtId="0" fontId="0" fillId="7" borderId="0" xfId="0" applyNumberFormat="1" applyFont="1" applyFill="1" applyBorder="1" applyAlignment="1">
      <x:alignment wrapText="1"/>
    </x:xf>
    <x:xf numFmtId="0" fontId="0" fillId="7" borderId="0" xfId="0" applyNumberFormat="1" applyFont="1" applyFill="1" applyBorder="1" applyAlignment="1">
      <x:alignment vertical="top" wrapText="1"/>
    </x:xf>
    <x:xf numFmtId="0" fontId="0" fillId="7" borderId="1" xfId="0" applyNumberFormat="1" applyFont="1" applyFill="1" applyBorder="1" applyAlignment="1">
      <x:alignment wrapText="1"/>
    </x:xf>
    <x:xf numFmtId="0" fontId="0" fillId="7" borderId="1" xfId="0" applyNumberFormat="1" applyFont="1" applyFill="1" applyBorder="1" applyAlignment="1">
      <x:alignment vertical="top" wrapText="1"/>
    </x:xf>
    <x:xf numFmtId="0" fontId="0" fillId="10" borderId="0" xfId="0" applyNumberFormat="1" applyFont="1" applyFill="1" applyBorder="1"/>
    <x:xf numFmtId="0" fontId="4" fillId="10" borderId="0" xfId="0" applyNumberFormat="1" applyFont="1" applyFill="1" applyBorder="1"/>
    <x:xf numFmtId="0" fontId="4" fillId="10" borderId="0" xfId="0" applyNumberFormat="1" applyFont="1" applyFill="1" applyBorder="1" applyAlignment="1">
      <x:alignment wrapText="1"/>
    </x:xf>
    <x:xf numFmtId="0" fontId="4" fillId="10" borderId="0" xfId="0" applyNumberFormat="1" applyFont="1" applyFill="1" applyBorder="1" applyAlignment="1">
      <x:alignment horizontal="center" wrapText="1"/>
    </x:xf>
    <x:xf numFmtId="0" fontId="4" fillId="10" borderId="0" xfId="0" applyNumberFormat="1" applyFont="1" applyFill="1" applyBorder="1" applyAlignment="1">
      <x:alignment horizontal="center" vertical="center" wrapText="1"/>
    </x:xf>
    <x:xf numFmtId="0" fontId="0" fillId="10" borderId="1" xfId="0" applyNumberFormat="1" applyFont="1" applyFill="1" applyBorder="1"/>
    <x:xf numFmtId="0" fontId="4" fillId="10" borderId="1" xfId="0" applyNumberFormat="1" applyFont="1" applyFill="1" applyBorder="1"/>
    <x:xf numFmtId="0" fontId="4" fillId="10" borderId="1" xfId="0" applyNumberFormat="1" applyFont="1" applyFill="1" applyBorder="1" applyAlignment="1">
      <x:alignment wrapText="1"/>
    </x:xf>
    <x:xf numFmtId="0" fontId="4" fillId="10" borderId="1" xfId="0" applyNumberFormat="1" applyFont="1" applyFill="1" applyBorder="1" applyAlignment="1">
      <x:alignment horizontal="center" wrapText="1"/>
    </x:xf>
    <x:xf numFmtId="0" fontId="4" fillId="10" borderId="1" xfId="0" applyNumberFormat="1" applyFont="1" applyFill="1" applyBorder="1" applyAlignment="1">
      <x:alignment horizontal="center" vertical="center" wrapText="1"/>
    </x:xf>
    <x:xf numFmtId="0" fontId="0" fillId="11" borderId="0" xfId="0" applyNumberFormat="1" applyFont="1" applyFill="1" applyBorder="1"/>
    <x:xf numFmtId="0" fontId="4" fillId="11" borderId="0" xfId="0" applyNumberFormat="1" applyFont="1" applyFill="1" applyBorder="1"/>
    <x:xf numFmtId="0" fontId="4" fillId="11" borderId="0" xfId="0" applyNumberFormat="1" applyFont="1" applyFill="1" applyBorder="1" applyAlignment="1">
      <x:alignment wrapText="1"/>
    </x:xf>
    <x:xf numFmtId="0" fontId="4" fillId="11" borderId="0" xfId="0" applyNumberFormat="1" applyFont="1" applyFill="1" applyBorder="1" applyAlignment="1">
      <x:alignment horizontal="center" wrapText="1"/>
    </x:xf>
    <x:xf numFmtId="0" fontId="4" fillId="11" borderId="0" xfId="0" applyNumberFormat="1" applyFont="1" applyFill="1" applyBorder="1" applyAlignment="1">
      <x:alignment horizontal="center" vertical="center" wrapText="1"/>
    </x:xf>
    <x:xf numFmtId="0" fontId="0" fillId="11" borderId="1" xfId="0" applyNumberFormat="1" applyFont="1" applyFill="1" applyBorder="1"/>
    <x:xf numFmtId="0" fontId="4" fillId="11" borderId="1" xfId="0" applyNumberFormat="1" applyFont="1" applyFill="1" applyBorder="1"/>
    <x:xf numFmtId="0" fontId="4" fillId="11" borderId="1" xfId="0" applyNumberFormat="1" applyFont="1" applyFill="1" applyBorder="1" applyAlignment="1">
      <x:alignment wrapText="1"/>
    </x:xf>
    <x:xf numFmtId="0" fontId="4" fillId="11" borderId="1" xfId="0" applyNumberFormat="1" applyFont="1" applyFill="1" applyBorder="1" applyAlignment="1">
      <x:alignment horizontal="center" wrapText="1"/>
    </x:xf>
    <x:xf numFmtId="0" fontId="4" fillId="11" borderId="1" xfId="0" applyNumberFormat="1" applyFont="1" applyFill="1" applyBorder="1" applyAlignment="1">
      <x:alignment horizontal="center" vertical="center" wrapText="1"/>
    </x:xf>
    <x:xf numFmtId="0" fontId="0" fillId="12" borderId="0" xfId="0" applyNumberFormat="1" applyFont="1" applyFill="1" applyBorder="1"/>
    <x:xf numFmtId="0" fontId="4" fillId="12" borderId="0" xfId="0" applyNumberFormat="1" applyFont="1" applyFill="1" applyBorder="1"/>
    <x:xf numFmtId="0" fontId="4" fillId="12" borderId="0" xfId="0" applyNumberFormat="1" applyFont="1" applyFill="1" applyBorder="1" applyAlignment="1">
      <x:alignment wrapText="1"/>
    </x:xf>
    <x:xf numFmtId="0" fontId="4" fillId="12" borderId="0" xfId="0" applyNumberFormat="1" applyFont="1" applyFill="1" applyBorder="1" applyAlignment="1">
      <x:alignment horizontal="center" wrapText="1"/>
    </x:xf>
    <x:xf numFmtId="0" fontId="4" fillId="12" borderId="0" xfId="0" applyNumberFormat="1" applyFont="1" applyFill="1" applyBorder="1" applyAlignment="1">
      <x:alignment horizontal="center" vertical="center" wrapText="1"/>
    </x:xf>
    <x:xf numFmtId="0" fontId="0" fillId="12" borderId="1" xfId="0" applyNumberFormat="1" applyFont="1" applyFill="1" applyBorder="1"/>
    <x:xf numFmtId="0" fontId="4" fillId="12" borderId="1" xfId="0" applyNumberFormat="1" applyFont="1" applyFill="1" applyBorder="1"/>
    <x:xf numFmtId="0" fontId="4" fillId="12" borderId="1" xfId="0" applyNumberFormat="1" applyFont="1" applyFill="1" applyBorder="1" applyAlignment="1">
      <x:alignment wrapText="1"/>
    </x:xf>
    <x:xf numFmtId="0" fontId="4" fillId="12" borderId="1" xfId="0" applyNumberFormat="1" applyFont="1" applyFill="1" applyBorder="1" applyAlignment="1">
      <x:alignment horizontal="center" wrapText="1"/>
    </x:xf>
    <x:xf numFmtId="0" fontId="4" fillId="12" borderId="1" xfId="0" applyNumberFormat="1" applyFont="1" applyFill="1" applyBorder="1" applyAlignment="1">
      <x:alignment horizontal="center" vertical="center" wrapText="1"/>
    </x:xf>
    <x:xf numFmtId="0" fontId="0" fillId="13" borderId="0" xfId="0" applyNumberFormat="1" applyFont="1" applyFill="1" applyBorder="1"/>
    <x:xf numFmtId="0" fontId="7" fillId="13" borderId="0" xfId="0" applyNumberFormat="1" applyFont="1" applyFill="1" applyBorder="1"/>
    <x:xf numFmtId="0" fontId="7" fillId="13" borderId="0" xfId="0" applyNumberFormat="1" applyFont="1" applyFill="1" applyBorder="1" applyAlignment="1">
      <x:alignment horizontal="center"/>
    </x:xf>
    <x:xf numFmtId="0" fontId="0" fillId="13" borderId="1" xfId="0" applyNumberFormat="1" applyFont="1" applyFill="1" applyBorder="1"/>
    <x:xf numFmtId="0" fontId="7" fillId="13" borderId="1" xfId="0" applyNumberFormat="1" applyFont="1" applyFill="1" applyBorder="1"/>
    <x:xf numFmtId="0" fontId="7" fillId="13" borderId="1" xfId="0" applyNumberFormat="1" applyFont="1" applyFill="1" applyBorder="1" applyAlignment="1">
      <x:alignment horizontal="center"/>
    </x:xf>
    <x:xf numFmtId="0" fontId="9" fillId="5" borderId="0" xfId="0" applyNumberFormat="1" applyFont="1" applyFill="1" applyBorder="1"/>
    <x:xf numFmtId="0" fontId="9" fillId="5" borderId="0" xfId="0" applyNumberFormat="1" applyFont="1" applyFill="1" applyBorder="1" applyAlignment="1">
      <x:alignment wrapText="1"/>
    </x:xf>
    <x:xf numFmtId="0" fontId="9" fillId="5" borderId="0" xfId="0" applyNumberFormat="1" applyFont="1" applyFill="1" applyBorder="1" applyAlignment="1">
      <x:alignment vertical="top" wrapText="1"/>
    </x:xf>
    <x:xf numFmtId="0" fontId="9" fillId="5" borderId="1" xfId="0" applyNumberFormat="1" applyFont="1" applyFill="1" applyBorder="1"/>
    <x:xf numFmtId="0" fontId="9" fillId="5" borderId="1" xfId="0" applyNumberFormat="1" applyFont="1" applyFill="1" applyBorder="1" applyAlignment="1">
      <x:alignment wrapText="1"/>
    </x:xf>
    <x:xf numFmtId="0" fontId="9" fillId="5" borderId="1" xfId="0" applyNumberFormat="1" applyFont="1" applyFill="1" applyBorder="1" applyAlignment="1">
      <x:alignment vertical="top" wrapText="1"/>
    </x:xf>
    <x:xf numFmtId="0" fontId="0" fillId="14" borderId="0" xfId="0" applyNumberFormat="1" applyFont="1" applyFill="1" applyBorder="1"/>
    <x:xf numFmtId="0" fontId="10" fillId="14" borderId="0" xfId="0" applyNumberFormat="1" applyFont="1" applyFill="1" applyBorder="1"/>
    <x:xf numFmtId="0" fontId="10" fillId="14" borderId="0" xfId="0" applyNumberFormat="1" applyFont="1" applyFill="1" applyBorder="1" applyAlignment="1">
      <x:alignment wrapText="1"/>
    </x:xf>
    <x:xf numFmtId="0" fontId="10" fillId="14" borderId="0" xfId="0" applyNumberFormat="1" applyFont="1" applyFill="1" applyBorder="1" applyAlignment="1">
      <x:alignment vertical="top" wrapText="1"/>
    </x:xf>
    <x:xf numFmtId="0" fontId="0" fillId="14" borderId="1" xfId="0" applyNumberFormat="1" applyFont="1" applyFill="1" applyBorder="1"/>
    <x:xf numFmtId="0" fontId="10" fillId="14" borderId="1" xfId="0" applyNumberFormat="1" applyFont="1" applyFill="1" applyBorder="1"/>
    <x:xf numFmtId="0" fontId="10" fillId="14" borderId="1" xfId="0" applyNumberFormat="1" applyFont="1" applyFill="1" applyBorder="1" applyAlignment="1">
      <x:alignment wrapText="1"/>
    </x:xf>
    <x:xf numFmtId="0" fontId="10" fillId="14" borderId="1" xfId="0" applyNumberFormat="1" applyFont="1" applyFill="1" applyBorder="1" applyAlignment="1">
      <x:alignment vertical="top" wrapText="1"/>
    </x:xf>
    <x:xf numFmtId="0" fontId="11" fillId="7" borderId="0" xfId="0" applyNumberFormat="1" applyFont="1" applyFill="1" applyBorder="1"/>
    <x:xf numFmtId="0" fontId="11" fillId="7" borderId="0" xfId="0" applyNumberFormat="1" applyFont="1" applyFill="1" applyBorder="1" applyAlignment="1">
      <x:alignment wrapText="1"/>
    </x:xf>
    <x:xf numFmtId="0" fontId="11" fillId="7" borderId="0" xfId="0" applyNumberFormat="1" applyFont="1" applyFill="1" applyBorder="1" applyAlignment="1">
      <x:alignment vertical="top" wrapText="1"/>
    </x:xf>
    <x:xf numFmtId="0" fontId="11" fillId="7" borderId="1" xfId="0" applyNumberFormat="1" applyFont="1" applyFill="1" applyBorder="1"/>
    <x:xf numFmtId="0" fontId="11" fillId="7" borderId="1" xfId="0" applyNumberFormat="1" applyFont="1" applyFill="1" applyBorder="1" applyAlignment="1">
      <x:alignment wrapText="1"/>
    </x:xf>
    <x:xf numFmtId="0" fontId="11" fillId="7" borderId="1" xfId="0" applyNumberFormat="1" applyFont="1" applyFill="1" applyBorder="1" applyAlignment="1">
      <x:alignment vertical="top" wrapText="1"/>
    </x:xf>
    <x:xf numFmtId="0" fontId="12" fillId="8" borderId="0" xfId="0" applyNumberFormat="1" applyFont="1" applyFill="1" applyBorder="1"/>
    <x:xf numFmtId="0" fontId="12" fillId="8" borderId="0" xfId="0" applyNumberFormat="1" applyFont="1" applyFill="1" applyBorder="1" applyAlignment="1">
      <x:alignment wrapText="1"/>
    </x:xf>
    <x:xf numFmtId="0" fontId="12" fillId="8" borderId="0" xfId="0" applyNumberFormat="1" applyFont="1" applyFill="1" applyBorder="1" applyAlignment="1">
      <x:alignment vertical="top" wrapText="1"/>
    </x:xf>
    <x:xf numFmtId="0" fontId="12" fillId="8" borderId="1" xfId="0" applyNumberFormat="1" applyFont="1" applyFill="1" applyBorder="1"/>
    <x:xf numFmtId="0" fontId="12" fillId="8" borderId="1" xfId="0" applyNumberFormat="1" applyFont="1" applyFill="1" applyBorder="1" applyAlignment="1">
      <x:alignment wrapText="1"/>
    </x:xf>
    <x:xf numFmtId="0" fontId="12" fillId="8" borderId="1" xfId="0" applyNumberFormat="1" applyFont="1" applyFill="1" applyBorder="1" applyAlignment="1">
      <x:alignment vertical="top" wrapText="1"/>
    </x:xf>
    <x:xf numFmtId="200" fontId="9" fillId="5" borderId="0" xfId="0" applyNumberFormat="1" applyFont="1" applyFill="1" applyBorder="1" applyAlignment="1">
      <x:alignment vertical="top" wrapText="1"/>
    </x:xf>
    <x:xf numFmtId="200" fontId="9" fillId="5" borderId="1" xfId="0" applyNumberFormat="1" applyFont="1" applyFill="1" applyBorder="1" applyAlignment="1">
      <x:alignment vertical="top" wrapText="1"/>
    </x:xf>
    <x:xf numFmtId="200" fontId="10" fillId="14" borderId="0" xfId="0" applyNumberFormat="1" applyFont="1" applyFill="1" applyBorder="1" applyAlignment="1">
      <x:alignment vertical="top" wrapText="1"/>
    </x:xf>
    <x:xf numFmtId="200" fontId="10" fillId="14" borderId="1" xfId="0" applyNumberFormat="1" applyFont="1" applyFill="1" applyBorder="1" applyAlignment="1">
      <x:alignment vertical="top" wrapText="1"/>
    </x:xf>
    <x:xf numFmtId="201" fontId="9" fillId="5" borderId="0" xfId="0" applyNumberFormat="1" applyFont="1" applyFill="1" applyBorder="1" applyAlignment="1">
      <x:alignment vertical="top" wrapText="1"/>
    </x:xf>
    <x:xf numFmtId="201" fontId="9" fillId="5" borderId="1" xfId="0" applyNumberFormat="1" applyFont="1" applyFill="1" applyBorder="1" applyAlignment="1">
      <x:alignment vertical="top" wrapText="1"/>
    </x:xf>
    <x:xf numFmtId="202" fontId="9" fillId="5" borderId="0" xfId="0" applyNumberFormat="1" applyFont="1" applyFill="1" applyBorder="1" applyAlignment="1">
      <x:alignment vertical="top" wrapText="1"/>
    </x:xf>
    <x:xf numFmtId="202" fontId="9" fillId="5" borderId="1" xfId="0" applyNumberFormat="1" applyFont="1" applyFill="1" applyBorder="1" applyAlignment="1">
      <x:alignment vertical="top" wrapText="1"/>
    </x:xf>
    <x:xf numFmtId="202" fontId="10" fillId="14" borderId="0" xfId="0" applyNumberFormat="1" applyFont="1" applyFill="1" applyBorder="1" applyAlignment="1">
      <x:alignment vertical="top" wrapText="1"/>
    </x:xf>
    <x:xf numFmtId="202" fontId="10" fillId="14" borderId="1" xfId="0" applyNumberFormat="1" applyFont="1" applyFill="1" applyBorder="1" applyAlignment="1">
      <x:alignment vertical="top" wrapText="1"/>
    </x:xf>
    <x:xf numFmtId="203" fontId="11" fillId="7" borderId="0" xfId="0" applyNumberFormat="1" applyFont="1" applyFill="1" applyBorder="1" applyAlignment="1">
      <x:alignment vertical="top" wrapText="1"/>
    </x:xf>
    <x:xf numFmtId="203" fontId="11" fillId="7" borderId="1" xfId="0" applyNumberFormat="1" applyFont="1" applyFill="1" applyBorder="1" applyAlignment="1">
      <x:alignment vertical="top" wrapText="1"/>
    </x:xf>
    <x:xf numFmtId="204" fontId="11" fillId="7" borderId="0" xfId="0" applyNumberFormat="1" applyFont="1" applyFill="1" applyBorder="1" applyAlignment="1">
      <x:alignment vertical="top" wrapText="1"/>
    </x:xf>
    <x:xf numFmtId="204" fontId="11" fillId="7" borderId="1" xfId="0" applyNumberFormat="1" applyFont="1" applyFill="1" applyBorder="1" applyAlignment="1">
      <x:alignment vertical="top" wrapText="1"/>
    </x:xf>
    <x:xf numFmtId="205" fontId="12" fillId="8" borderId="0" xfId="0" applyNumberFormat="1" applyFont="1" applyFill="1" applyBorder="1" applyAlignment="1">
      <x:alignment vertical="top" wrapText="1"/>
    </x:xf>
    <x:xf numFmtId="205" fontId="12" fillId="8" borderId="1" xfId="0" applyNumberFormat="1" applyFont="1" applyFill="1" applyBorder="1" applyAlignment="1">
      <x:alignment vertical="top" wrapText="1"/>
    </x:xf>
    <x:xf numFmtId="202" fontId="11" fillId="7" borderId="0" xfId="0" applyNumberFormat="1" applyFont="1" applyFill="1" applyBorder="1" applyAlignment="1">
      <x:alignment vertical="top" wrapText="1"/>
    </x:xf>
    <x:xf numFmtId="202" fontId="11" fillId="7" borderId="1" xfId="0" applyNumberFormat="1" applyFont="1" applyFill="1" applyBorder="1" applyAlignment="1">
      <x:alignment vertical="top" wrapText="1"/>
    </x:xf>
    <x:xf numFmtId="206" fontId="11" fillId="7" borderId="0" xfId="0" applyNumberFormat="1" applyFont="1" applyFill="1" applyBorder="1" applyAlignment="1">
      <x:alignment vertical="top" wrapText="1"/>
    </x:xf>
    <x:xf numFmtId="206" fontId="11" fillId="7" borderId="1" xfId="0" applyNumberFormat="1" applyFont="1" applyFill="1" applyBorder="1" applyAlignment="1">
      <x:alignment vertical="top" wrapText="1"/>
    </x:xf>
    <x:xf numFmtId="0" fontId="3" fillId="6" borderId="0" xfId="0" applyNumberFormat="1" applyFont="1" applyFill="1" applyBorder="1"/>
    <x:xf numFmtId="0" fontId="3" fillId="6" borderId="0" xfId="0" applyNumberFormat="1" applyFont="1" applyFill="1" applyBorder="1" applyAlignment="1">
      <x:alignment vertical="center"/>
    </x:xf>
    <x:xf numFmtId="0" fontId="3" fillId="6" borderId="1" xfId="0" applyNumberFormat="1" applyFont="1" applyFill="1" applyBorder="1"/>
    <x:xf numFmtId="0" fontId="3" fillId="6" borderId="1" xfId="0" applyNumberFormat="1" applyFont="1" applyFill="1" applyBorder="1" applyAlignment="1">
      <x:alignment vertical="center"/>
    </x:xf>
    <x:xf numFmtId="205" fontId="11" fillId="7" borderId="0" xfId="0" applyNumberFormat="1" applyFont="1" applyFill="1" applyBorder="1" applyAlignment="1">
      <x:alignment vertical="top" wrapText="1"/>
    </x:xf>
    <x:xf numFmtId="205" fontId="11" fillId="7" borderId="1" xfId="0" applyNumberFormat="1" applyFont="1" applyFill="1" applyBorder="1" applyAlignment="1">
      <x:alignment vertical="top" wrapText="1"/>
    </x:xf>
    <x:xf numFmtId="0" fontId="3" fillId="12" borderId="0" xfId="0" applyNumberFormat="1" applyFont="1" applyFill="1" applyBorder="1"/>
    <x:xf numFmtId="0" fontId="3" fillId="12" borderId="0" xfId="0" applyNumberFormat="1" applyFont="1" applyFill="1" applyBorder="1" applyAlignment="1">
      <x:alignment vertical="center"/>
    </x:xf>
    <x:xf numFmtId="0" fontId="3" fillId="12" borderId="1" xfId="0" applyNumberFormat="1" applyFont="1" applyFill="1" applyBorder="1"/>
    <x:xf numFmtId="0" fontId="3" fillId="12" borderId="1" xfId="0" applyNumberFormat="1" applyFont="1" applyFill="1" applyBorder="1" applyAlignment="1">
      <x:alignment vertical="center"/>
    </x:xf>
    <x:xf numFmtId="0" fontId="3" fillId="10" borderId="0" xfId="0" applyNumberFormat="1" applyFont="1" applyFill="1" applyBorder="1"/>
    <x:xf numFmtId="0" fontId="3" fillId="10" borderId="0" xfId="0" applyNumberFormat="1" applyFont="1" applyFill="1" applyBorder="1" applyAlignment="1">
      <x:alignment vertical="center"/>
    </x:xf>
    <x:xf numFmtId="0" fontId="3" fillId="10" borderId="1" xfId="0" applyNumberFormat="1" applyFont="1" applyFill="1" applyBorder="1"/>
    <x:xf numFmtId="0" fontId="3" fillId="10" borderId="1" xfId="0" applyNumberFormat="1" applyFont="1" applyFill="1" applyBorder="1" applyAlignment="1">
      <x:alignment vertical="center"/>
    </x:xf>
    <x:xf numFmtId="0" fontId="13" fillId="13" borderId="0" xfId="0" applyNumberFormat="1" applyFont="1" applyFill="1" applyBorder="1"/>
    <x:xf numFmtId="0" fontId="13" fillId="13" borderId="0" xfId="0" applyNumberFormat="1" applyFont="1" applyFill="1" applyBorder="1" applyAlignment="1">
      <x:alignment wrapText="1"/>
    </x:xf>
    <x:xf numFmtId="0" fontId="13" fillId="13" borderId="1" xfId="0" applyNumberFormat="1" applyFont="1" applyFill="1" applyBorder="1"/>
    <x:xf numFmtId="0" fontId="13" fillId="13" borderId="1" xfId="0" applyNumberFormat="1" applyFont="1" applyFill="1" applyBorder="1" applyAlignment="1">
      <x:alignment wrapText="1"/>
    </x:xf>
    <x:xf numFmtId="205" fontId="9" fillId="5" borderId="0" xfId="0" applyNumberFormat="1" applyFont="1" applyFill="1" applyBorder="1" applyAlignment="1">
      <x:alignment vertical="top" wrapText="1"/>
    </x:xf>
    <x:xf numFmtId="205" fontId="9" fillId="5" borderId="1" xfId="0" applyNumberFormat="1" applyFont="1" applyFill="1" applyBorder="1" applyAlignment="1">
      <x:alignment vertical="top" wrapText="1"/>
    </x:xf>
    <x:xf numFmtId="207" fontId="9" fillId="5" borderId="0" xfId="0" applyNumberFormat="1" applyFont="1" applyFill="1" applyBorder="1" applyAlignment="1">
      <x:alignment vertical="top" wrapText="1"/>
    </x:xf>
    <x:xf numFmtId="207" fontId="9" fillId="5" borderId="1" xfId="0" applyNumberFormat="1" applyFont="1" applyFill="1" applyBorder="1" applyAlignment="1">
      <x:alignment vertical="top" wrapText="1"/>
    </x:xf>
    <x:xf numFmtId="206" fontId="9" fillId="5" borderId="0" xfId="0" applyNumberFormat="1" applyFont="1" applyFill="1" applyBorder="1" applyAlignment="1">
      <x:alignment vertical="top" wrapText="1"/>
    </x:xf>
    <x:xf numFmtId="206" fontId="9" fillId="5" borderId="1" xfId="0" applyNumberFormat="1" applyFont="1" applyFill="1" applyBorder="1" applyAlignment="1">
      <x:alignment vertical="top" wrapText="1"/>
    </x:xf>
    <x:xf numFmtId="0" fontId="3" fillId="11" borderId="0" xfId="0" applyNumberFormat="1" applyFont="1" applyFill="1" applyBorder="1"/>
    <x:xf numFmtId="0" fontId="3" fillId="11" borderId="0" xfId="0" applyNumberFormat="1" applyFont="1" applyFill="1" applyBorder="1" applyAlignment="1">
      <x:alignment vertical="center"/>
    </x:xf>
    <x:xf numFmtId="0" fontId="3" fillId="11" borderId="1" xfId="0" applyNumberFormat="1" applyFont="1" applyFill="1" applyBorder="1"/>
    <x:xf numFmtId="0" fontId="3" fillId="11" borderId="1"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f32591c085941c1" /><Relationship Type="http://schemas.openxmlformats.org/officeDocument/2006/relationships/theme" Target="/xl/theme/theme1.xml" Id="Rbf665be836554710" /><Relationship Type="http://schemas.openxmlformats.org/officeDocument/2006/relationships/sharedStrings" Target="/xl/sharedStrings.xml" Id="R2b3c3b5911a94a11" /><Relationship Type="http://schemas.openxmlformats.org/officeDocument/2006/relationships/worksheet" Target="/xl/worksheets/sheet1.xml" Id="Rf9c976cd563d46d9" /><Relationship Type="http://schemas.openxmlformats.org/officeDocument/2006/relationships/worksheet" Target="/xl/worksheets/sheet2.xml" Id="R5e78856030f54659" /><Relationship Type="http://schemas.openxmlformats.org/officeDocument/2006/relationships/worksheet" Target="/xl/worksheets/sheet3.xml" Id="Re801b5d7b16941df" /><Relationship Type="http://schemas.openxmlformats.org/officeDocument/2006/relationships/worksheet" Target="/xl/worksheets/sheet4.xml" Id="R13ebd019046944d2" /><Relationship Type="http://schemas.openxmlformats.org/officeDocument/2006/relationships/worksheet" Target="/xl/worksheets/sheet5.xml" Id="Ra2b6a260707940ba" /><Relationship Type="http://schemas.openxmlformats.org/officeDocument/2006/relationships/worksheet" Target="/xl/worksheets/sheet6.xml" Id="Re01263b2cc6b449f" /><Relationship Type="http://schemas.openxmlformats.org/officeDocument/2006/relationships/worksheet" Target="/xl/worksheets/sheet7.xml" Id="R0771509bd33d4a1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62" hidden="0" customWidth="1"/>
    <x:col min="3" max="3" width="16" hidden="0" customWidth="1"/>
    <x:col min="4" max="4" width="24" hidden="0" customWidth="1"/>
    <x:col min="5" max="5" width="34" hidden="0" customWidth="1"/>
    <x:col min="6" max="6" width="24" hidden="0" customWidth="1"/>
    <x:col min="7" max="7" width="24" hidden="0" customWidth="1"/>
    <x:col min="8" max="8" width="24" hidden="0" customWidth="1"/>
  </x:cols>
  <x:sheetData>
    <x:row r="1" ht="28" customHeight="1">
      <x:c r="A1" s="4" t="str">
        <x:v>EdgeFinder Trade Journal - Fresh-Slate Pilot v0.1</x:v>
      </x:c>
      <x:c r="B1" s="4"/>
      <x:c r="C1" s="4"/>
      <x:c r="D1" s="4"/>
      <x:c r="E1" s="4"/>
      <x:c r="F1" s="4"/>
      <x:c r="G1" s="4"/>
      <x:c r="H1" s="4"/>
    </x:row>
    <x:row r="2">
      <x:c r="A2" s="10" t="str">
        <x:v>Pilot start: 2026-09-01 | Use only for new discretionary trades opened after the pilot begins.</x:v>
      </x:c>
      <x:c r="B2" s="10"/>
      <x:c r="C2" s="10"/>
      <x:c r="D2" s="10"/>
      <x:c r="E2" s="10"/>
      <x:c r="F2" s="10"/>
      <x:c r="G2" s="10"/>
      <x:c r="H2" s="10"/>
    </x:row>
    <x:row r="4" ht="22" customHeight="1">
      <x:c r="A4" s="16" t="str">
        <x:v>Pilot objective</x:v>
      </x:c>
      <x:c r="B4" s="16"/>
      <x:c r="C4" s="16"/>
      <x:c r="D4" s="16"/>
      <x:c r="E4" s="16"/>
      <x:c r="F4" s="16"/>
      <x:c r="G4" s="16"/>
      <x:c r="H4" s="16"/>
    </x:row>
    <x:row r="5">
      <x:c r="A5" s="22" t="str">
        <x:v>Capture five new trades with minimal effort, then evaluate whether the journal is useful, clear, and fast enough to keep. Legacy positions such as ASTS and SentinelOne are excluded from pilot performance statistics.</x:v>
      </x:c>
      <x:c r="B5" s="22"/>
      <x:c r="C5" s="22"/>
      <x:c r="D5" s="22"/>
      <x:c r="E5" s="22"/>
      <x:c r="F5" s="22"/>
      <x:c r="G5" s="22"/>
      <x:c r="H5" s="22"/>
    </x:row>
    <x:row r="6">
      <x:c r="A6" s="22"/>
      <x:c r="B6" s="22"/>
      <x:c r="C6" s="22"/>
      <x:c r="D6" s="22"/>
      <x:c r="E6" s="22"/>
      <x:c r="F6" s="22"/>
      <x:c r="G6" s="22"/>
      <x:c r="H6" s="22"/>
    </x:row>
    <x:row r="8" ht="22" customHeight="1">
      <x:c r="A8" s="16" t="str">
        <x:v>How to use the pilot</x:v>
      </x:c>
      <x:c r="B8" s="16"/>
      <x:c r="C8" s="16"/>
      <x:c r="D8" s="16"/>
      <x:c r="E8" s="16"/>
      <x:c r="F8" s="16"/>
      <x:c r="G8" s="16"/>
      <x:c r="H8" s="16"/>
    </x:row>
    <x:row r="9" ht="38" customHeight="1">
      <x:c r="A9" s="26" t="n">
        <x:v>1</x:v>
      </x:c>
      <x:c r="B9" s="22" t="str">
        <x:v>Optional: log a serious idea or provider signal in Candidate Log.</x:v>
      </x:c>
    </x:row>
    <x:row r="10" ht="38" customHeight="1">
      <x:c r="A10" s="26" t="n">
        <x:v>2</x:v>
      </x:c>
      <x:c r="B10" s="22" t="str">
        <x:v>Before entry: complete the blue entry-plan fields in Trade Journal.</x:v>
      </x:c>
    </x:row>
    <x:row r="11" ht="38" customHeight="1">
      <x:c r="A11" s="26" t="n">
        <x:v>3</x:v>
      </x:c>
      <x:c r="B11" s="22" t="str">
        <x:v>After exit: complete the orange exit-review fields; Result (R) and Holding Days calculate automatically.</x:v>
      </x:c>
    </x:row>
    <x:row r="12" ht="38" customHeight="1">
      <x:c r="A12" s="26" t="n">
        <x:v>4</x:v>
      </x:c>
      <x:c r="B12" s="22" t="str">
        <x:v>For each of the first five trades, record logging time and friction in Pilot Feedback.</x:v>
      </x:c>
    </x:row>
    <x:row r="13" ht="38" customHeight="1">
      <x:c r="A13" s="26" t="n">
        <x:v>5</x:v>
      </x:c>
      <x:c r="B13" s="22" t="str">
        <x:v>Send this same workbook back after five new trades are entered, even if some remain open.</x:v>
      </x:c>
    </x:row>
    <x:row r="15" ht="22" customHeight="1">
      <x:c r="A15" s="16" t="str">
        <x:v>Risk guardrails already adopted</x:v>
      </x:c>
      <x:c r="B15" s="16"/>
      <x:c r="C15" s="16"/>
      <x:c r="D15" s="16"/>
      <x:c r="F15" s="16" t="str">
        <x:v>What is required</x:v>
      </x:c>
      <x:c r="G15" s="16"/>
      <x:c r="H15" s="16"/>
    </x:row>
    <x:row r="16" ht="42" customHeight="1">
      <x:c r="A16" s="32" t="str">
        <x:v>Rule</x:v>
      </x:c>
      <x:c r="B16" s="32" t="str">
        <x:v>Lower / Review</x:v>
      </x:c>
      <x:c r="C16" s="32" t="str">
        <x:v>Default</x:v>
      </x:c>
      <x:c r="D16" s="32" t="str">
        <x:v>Hard ceiling</x:v>
      </x:c>
      <x:c r="F16" s="40" t="str">
        <x:v>At entry: source/provider, setup or provider strategy, exact entry rule, stop/invalidation, target or exit method, planned risk, holding window, and event risk.
At exit: exit date/price, net P/L, exit reason, rule adherence, diagnosis, and one lesson.
Optional research tags: trend, SMA state, RSI, MACD, short interest, analyst influence, and MTF observation.</x:v>
      </x:c>
      <x:c r="G16" s="40"/>
      <x:c r="H16" s="40"/>
    </x:row>
    <x:row r="17">
      <x:c r="A17" s="22" t="str">
        <x:v>Planned risk per trade</x:v>
      </x:c>
      <x:c r="B17" s="22" t="str">
        <x:v>0.10%-0.15%</x:v>
      </x:c>
      <x:c r="C17" s="22" t="str">
        <x:v>0.20%</x:v>
      </x:c>
      <x:c r="D17" s="22" t="str">
        <x:v>0.30%</x:v>
      </x:c>
      <x:c r="F17" s="40"/>
      <x:c r="G17" s="40"/>
      <x:c r="H17" s="40"/>
    </x:row>
    <x:row r="18">
      <x:c r="A18" s="22" t="str">
        <x:v>Combined open swing risk</x:v>
      </x:c>
      <x:c r="B18" s="22" t="str">
        <x:v>-</x:v>
      </x:c>
      <x:c r="C18" s="22" t="str">
        <x:v>1.00% normal</x:v>
      </x:c>
      <x:c r="D18" s="22" t="str">
        <x:v>1.50%</x:v>
      </x:c>
      <x:c r="F18" s="40"/>
      <x:c r="G18" s="40"/>
      <x:c r="H18" s="40"/>
    </x:row>
    <x:row r="19">
      <x:c r="A19" s="22" t="str">
        <x:v>Single-company exposure</x:v>
      </x:c>
      <x:c r="B19" s="22" t="str">
        <x:v>4.50% review</x:v>
      </x:c>
      <x:c r="C19" s="22" t="str">
        <x:v>-</x:v>
      </x:c>
      <x:c r="D19" s="22" t="str">
        <x:v>5.00%</x:v>
      </x:c>
      <x:c r="F19" s="40"/>
      <x:c r="G19" s="40"/>
      <x:c r="H19" s="40"/>
    </x:row>
    <x:row r="20">
      <x:c r="A20" s="22" t="str">
        <x:v>Risk measurement</x:v>
      </x:c>
      <x:c r="B20" s="22" t="str">
        <x:v>Entry/current price to active stop</x:v>
      </x:c>
      <x:c r="C20" s="22" t="str"/>
      <x:c r="D20" s="22" t="str"/>
      <x:c r="F20" s="40"/>
      <x:c r="G20" s="40"/>
      <x:c r="H20" s="40"/>
    </x:row>
    <x:row r="21">
      <x:c r="A21" s="22" t="str">
        <x:v>Provider-directed trade</x:v>
      </x:c>
      <x:c r="B21" s="22" t="str">
        <x:v>Record provider levels and deviations</x:v>
      </x:c>
      <x:c r="C21" s="22" t="str"/>
      <x:c r="D21" s="22" t="str"/>
      <x:c r="F21" s="40"/>
      <x:c r="G21" s="40"/>
      <x:c r="H21" s="40"/>
    </x:row>
    <x:row r="22">
      <x:c r="F22" s="40"/>
      <x:c r="G22" s="40"/>
      <x:c r="H22" s="40"/>
    </x:row>
    <x:row r="24" ht="22" customHeight="1">
      <x:c r="A24" s="16" t="str">
        <x:v>Workbook guide</x:v>
      </x:c>
      <x:c r="B24" s="16"/>
      <x:c r="C24" s="16"/>
      <x:c r="D24" s="16" t="str">
        <x:v>Color key</x:v>
      </x:c>
      <x:c r="E24" s="16"/>
      <x:c r="F24" s="16"/>
      <x:c r="G24" s="16"/>
      <x:c r="H24" s="16"/>
    </x:row>
    <x:row r="25" ht="42" customHeight="1">
      <x:c r="A25" s="49" t="str">
        <x:v>Sheet</x:v>
      </x:c>
      <x:c r="B25" s="49" t="str">
        <x:v>Purpose</x:v>
      </x:c>
      <x:c r="D25" s="49" t="str">
        <x:v>Color</x:v>
      </x:c>
      <x:c r="E25" s="49" t="str">
        <x:v>Meaning</x:v>
      </x:c>
    </x:row>
    <x:row r="26">
      <x:c r="A26" s="22" t="str">
        <x:v>Trade Journal</x:v>
      </x:c>
      <x:c r="B26" s="22" t="str">
        <x:v>One row per new executed discretionary trade.</x:v>
      </x:c>
      <x:c r="D26" s="55" t="str">
        <x:v>Blue</x:v>
      </x:c>
      <x:c r="E26" t="str">
        <x:v>Entry/input field</x:v>
      </x:c>
    </x:row>
    <x:row r="27">
      <x:c r="A27" s="22" t="str">
        <x:v>Candidate Log</x:v>
      </x:c>
      <x:c r="B27" s="22" t="str">
        <x:v>Serious candidates plus missed or skipped Tickeron signals.</x:v>
      </x:c>
      <x:c r="D27" s="58" t="str">
        <x:v>Green</x:v>
      </x:c>
      <x:c r="E27" t="str">
        <x:v>Formula/calculated field</x:v>
      </x:c>
    </x:row>
    <x:row r="28">
      <x:c r="A28" s="22" t="str">
        <x:v>Dashboard</x:v>
      </x:c>
      <x:c r="B28" s="22" t="str">
        <x:v>Pilot progress and closed-trade statistics by source and setup.</x:v>
      </x:c>
      <x:c r="D28" s="62" t="str">
        <x:v>Purple</x:v>
      </x:c>
      <x:c r="E28" t="str">
        <x:v>Optional research field</x:v>
      </x:c>
    </x:row>
    <x:row r="29">
      <x:c r="A29" s="22" t="str">
        <x:v>Pilot Feedback</x:v>
      </x:c>
      <x:c r="B29" s="22" t="str">
        <x:v>Measures whether logging is fast and useful after five trades.</x:v>
      </x:c>
    </x:row>
    <x:row r="30">
      <x:c r="A30" s="22" t="str">
        <x:v>Automated Monthly</x:v>
      </x:c>
      <x:c r="B30" s="22" t="str">
        <x:v>Optional monthly summaries for Autopilot and Calicut.</x:v>
      </x:c>
    </x:row>
    <x:row r="31">
      <x:c r="A31" s="22" t="str">
        <x:v>Setup Guide</x:v>
      </x:c>
      <x:c r="B31" s="22" t="str">
        <x:v>Definitions and allowed labels; use this in place of dropdown menus.</x:v>
      </x:c>
    </x:row>
    <x:row r="33" ht="22" customHeight="1">
      <x:c r="A33" s="67" t="str">
        <x:v>Compatibility note</x:v>
      </x:c>
      <x:c r="B33" s="67"/>
      <x:c r="C33" s="67"/>
      <x:c r="D33" s="67"/>
      <x:c r="E33" s="67"/>
      <x:c r="F33" s="67"/>
      <x:c r="G33" s="67"/>
      <x:c r="H33" s="67"/>
    </x:row>
    <x:row r="34">
      <x:c r="A34" s="72" t="str">
        <x:v>This Excel-safe edition intentionally avoids embedded tables, dropdown validation objects, conditional-formatting rules, charts, and merged cells. Those features were removed because they can trigger repair warnings in some desktop Excel installations. All tracking logic remains available through ordinary cells and formulas.</x:v>
      </x:c>
      <x:c r="B34" s="72"/>
      <x:c r="C34" s="72"/>
      <x:c r="D34" s="72"/>
      <x:c r="E34" s="72"/>
      <x:c r="F34" s="72"/>
      <x:c r="G34" s="72"/>
      <x:c r="H34" s="72"/>
    </x:row>
    <x:row r="35">
      <x:c r="A35" s="72"/>
      <x:c r="B35" s="72"/>
      <x:c r="C35" s="72"/>
      <x:c r="D35" s="72"/>
      <x:c r="E35" s="72"/>
      <x:c r="F35" s="72"/>
      <x:c r="G35" s="72"/>
      <x:c r="H35" s="72"/>
    </x:row>
    <x:row r="36">
      <x:c r="A36" s="72"/>
      <x:c r="B36" s="72"/>
      <x:c r="C36" s="72"/>
      <x:c r="D36" s="72"/>
      <x:c r="E36" s="72"/>
      <x:c r="F36" s="72"/>
      <x:c r="G36" s="72"/>
      <x:c r="H36" s="72"/>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0" hidden="0" customWidth="1"/>
    <x:col min="5" max="5" width="12" hidden="0" customWidth="1"/>
    <x:col min="6" max="6" width="10" hidden="0" customWidth="1"/>
    <x:col min="7" max="7" width="18" hidden="0" customWidth="1"/>
    <x:col min="8" max="8" width="20" hidden="0" customWidth="1"/>
    <x:col min="9" max="9" width="20" hidden="0" customWidth="1"/>
    <x:col min="10" max="10" width="24" hidden="0" customWidth="1"/>
    <x:col min="11" max="11" width="20" hidden="0" customWidth="1"/>
    <x:col min="12" max="12" width="34" hidden="0" customWidth="1"/>
    <x:col min="13" max="13" width="34" hidden="0" customWidth="1"/>
    <x:col min="14" max="14" width="12" hidden="0" customWidth="1"/>
    <x:col min="15" max="15" width="10" hidden="0" customWidth="1"/>
    <x:col min="16" max="16" width="14" hidden="0" customWidth="1"/>
    <x:col min="17" max="17" width="16" hidden="0" customWidth="1"/>
    <x:col min="18" max="18" width="32" hidden="0" customWidth="1"/>
    <x:col min="19" max="19" width="30" hidden="0" customWidth="1"/>
    <x:col min="20" max="20" width="14" hidden="0" customWidth="1"/>
    <x:col min="21" max="21" width="22" hidden="0" customWidth="1"/>
    <x:col min="22" max="22" width="16" hidden="0" customWidth="1"/>
    <x:col min="23" max="23" width="16" hidden="0" customWidth="1"/>
    <x:col min="24" max="24" width="16" hidden="0" customWidth="1"/>
    <x:col min="25" max="25" width="12" hidden="0" customWidth="1"/>
    <x:col min="26" max="26" width="14" hidden="0" customWidth="1"/>
    <x:col min="27" max="27" width="14" hidden="0" customWidth="1"/>
    <x:col min="28" max="28" width="12" hidden="0" customWidth="1"/>
    <x:col min="29" max="29" width="12" hidden="0" customWidth="1"/>
    <x:col min="30" max="30" width="18" hidden="0" customWidth="1"/>
    <x:col min="31" max="31" width="18" hidden="0" customWidth="1"/>
    <x:col min="32" max="32" width="24" hidden="0" customWidth="1"/>
    <x:col min="33" max="33" width="34" hidden="0" customWidth="1"/>
    <x:col min="34" max="34" width="34" hidden="0" customWidth="1"/>
    <x:col min="35" max="35" width="16" hidden="0" customWidth="1"/>
    <x:col min="36" max="36" width="20" hidden="0" customWidth="1"/>
    <x:col min="37" max="37" width="16" hidden="0" customWidth="1"/>
    <x:col min="38" max="38" width="18" hidden="0" customWidth="1"/>
    <x:col min="39" max="39" width="14" hidden="0" customWidth="1"/>
    <x:col min="40" max="40" width="14" hidden="0" customWidth="1"/>
    <x:col min="41" max="41" width="16" hidden="0" customWidth="1"/>
    <x:col min="42" max="42" width="20" hidden="0" customWidth="1"/>
    <x:col min="43" max="43" width="18" hidden="0" customWidth="1"/>
    <x:col min="44" max="44" width="18" hidden="0" customWidth="1"/>
    <x:col min="45" max="45" width="18" hidden="0" customWidth="1"/>
  </x:cols>
  <x:sheetData>
    <x:row r="1" ht="28" customHeight="1">
      <x:c r="A1" s="4" t="str">
        <x:v>Trade Journal - One Row per New Executed Discretionary Trade</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c r="AK1" s="4"/>
      <x:c r="AL1" s="4"/>
      <x:c r="AM1" s="4"/>
      <x:c r="AN1" s="4"/>
      <x:c r="AO1" s="4"/>
      <x:c r="AP1" s="4"/>
      <x:c r="AQ1" s="4"/>
      <x:c r="AR1" s="4"/>
      <x:c r="AS1" s="4"/>
    </x:row>
    <x:row r="2">
      <x:c r="A2" s="10" t="str">
        <x:v>Blue cells: entry plan | Orange cells: exit review | Green cells: formulas | Purple cells: optional research tags. See Setup Guide for allowed labels.</x:v>
      </x:c>
      <x:c r="B2" s="10"/>
      <x:c r="C2" s="10"/>
      <x:c r="D2" s="10"/>
      <x:c r="E2" s="10"/>
      <x:c r="F2" s="10"/>
      <x:c r="G2" s="10"/>
      <x:c r="H2" s="10"/>
      <x:c r="I2" s="10"/>
      <x:c r="J2" s="10"/>
      <x:c r="K2" s="10"/>
      <x:c r="L2" s="10"/>
      <x:c r="M2" s="10"/>
      <x:c r="N2" s="10"/>
      <x:c r="O2" s="10"/>
      <x:c r="P2" s="10"/>
      <x:c r="Q2" s="10"/>
      <x:c r="R2" s="10"/>
      <x:c r="S2" s="10"/>
      <x:c r="T2" s="10"/>
      <x:c r="U2" s="10"/>
      <x:c r="V2" s="10"/>
      <x:c r="W2" s="10"/>
      <x:c r="X2" s="10"/>
      <x:c r="Y2" s="10"/>
      <x:c r="Z2" s="10"/>
      <x:c r="AA2" s="10"/>
      <x:c r="AB2" s="10"/>
      <x:c r="AC2" s="10"/>
      <x:c r="AD2" s="10"/>
      <x:c r="AE2" s="10"/>
      <x:c r="AF2" s="10"/>
      <x:c r="AG2" s="10"/>
      <x:c r="AH2" s="10"/>
      <x:c r="AI2" s="10"/>
      <x:c r="AJ2" s="10"/>
      <x:c r="AK2" s="10"/>
      <x:c r="AL2" s="10"/>
      <x:c r="AM2" s="10"/>
      <x:c r="AN2" s="10"/>
      <x:c r="AO2" s="10"/>
      <x:c r="AP2" s="10"/>
      <x:c r="AQ2" s="10"/>
      <x:c r="AR2" s="10"/>
      <x:c r="AS2" s="10"/>
    </x:row>
    <x:row r="4" ht="42" customHeight="1">
      <x:c r="A4" s="79" t="str">
        <x:v>Trade ID</x:v>
      </x:c>
      <x:c r="B4" s="79" t="str">
        <x:v>Candidate ID (Optional)</x:v>
      </x:c>
      <x:c r="C4" s="79" t="str">
        <x:v>Status</x:v>
      </x:c>
      <x:c r="D4" s="32" t="str">
        <x:v>Ticker</x:v>
      </x:c>
      <x:c r="E4" s="32" t="str">
        <x:v>Instrument</x:v>
      </x:c>
      <x:c r="F4" s="32" t="str">
        <x:v>Direction</x:v>
      </x:c>
      <x:c r="G4" s="32" t="str">
        <x:v>Source</x:v>
      </x:c>
      <x:c r="H4" s="32" t="str">
        <x:v>Provider / Product</x:v>
      </x:c>
      <x:c r="I4" s="32" t="str">
        <x:v>Control Model</x:v>
      </x:c>
      <x:c r="J4" s="32" t="str">
        <x:v>Strategy / Setup</x:v>
      </x:c>
      <x:c r="K4" s="32" t="str">
        <x:v>Entry Confirmation</x:v>
      </x:c>
      <x:c r="L4" s="49" t="str">
        <x:v>Source Thesis / Signal</x:v>
      </x:c>
      <x:c r="M4" s="49" t="str">
        <x:v>Entry Rule</x:v>
      </x:c>
      <x:c r="N4" s="49" t="str">
        <x:v>Entry Date</x:v>
      </x:c>
      <x:c r="O4" s="49" t="str">
        <x:v>Quantity</x:v>
      </x:c>
      <x:c r="P4" s="49" t="str">
        <x:v>Avg Entry Price</x:v>
      </x:c>
      <x:c r="Q4" s="49" t="str">
        <x:v>Stop / Invalidation Price</x:v>
      </x:c>
      <x:c r="R4" s="49" t="str">
        <x:v>Stop Rule / Condition</x:v>
      </x:c>
      <x:c r="S4" s="49" t="str">
        <x:v>Target / Exit Method</x:v>
      </x:c>
      <x:c r="T4" s="49" t="str">
        <x:v>Planned Risk ($)</x:v>
      </x:c>
      <x:c r="U4" s="49" t="str">
        <x:v>Risk Tier</x:v>
      </x:c>
      <x:c r="V4" s="49" t="str">
        <x:v>Holding Window</x:v>
      </x:c>
      <x:c r="W4" s="49" t="str">
        <x:v>Event Risk</x:v>
      </x:c>
      <x:c r="X4" s="49" t="str">
        <x:v>Review Cadence</x:v>
      </x:c>
      <x:c r="Y4" s="89" t="str">
        <x:v>Exit Date</x:v>
      </x:c>
      <x:c r="Z4" s="89" t="str">
        <x:v>Avg Exit Price</x:v>
      </x:c>
      <x:c r="AA4" s="89" t="str">
        <x:v>Net P/L ($)</x:v>
      </x:c>
      <x:c r="AB4" s="89" t="str">
        <x:v>Result (R)</x:v>
      </x:c>
      <x:c r="AC4" s="89" t="str">
        <x:v>Holding Days</x:v>
      </x:c>
      <x:c r="AD4" s="89" t="str">
        <x:v>Exit Reason</x:v>
      </x:c>
      <x:c r="AE4" s="89" t="str">
        <x:v>Rule Adherence</x:v>
      </x:c>
      <x:c r="AF4" s="89" t="str">
        <x:v>Post-Trade Diagnosis</x:v>
      </x:c>
      <x:c r="AG4" s="89" t="str">
        <x:v>One Lesson</x:v>
      </x:c>
      <x:c r="AH4" s="89" t="str">
        <x:v>Notes</x:v>
      </x:c>
      <x:c r="AI4" s="99" t="str">
        <x:v>Weekly Trend</x:v>
      </x:c>
      <x:c r="AJ4" s="99" t="str">
        <x:v>Daily Price Location</x:v>
      </x:c>
      <x:c r="AK4" s="99" t="str">
        <x:v>SMA State</x:v>
      </x:c>
      <x:c r="AL4" s="99" t="str">
        <x:v>9 SMA vs 20 SMA</x:v>
      </x:c>
      <x:c r="AM4" s="99" t="str">
        <x:v>Daily RSI(14)</x:v>
      </x:c>
      <x:c r="AN4" s="99" t="str">
        <x:v>4H RSI(14)</x:v>
      </x:c>
      <x:c r="AO4" s="99" t="str">
        <x:v>RSI Extreme</x:v>
      </x:c>
      <x:c r="AP4" s="99" t="str">
        <x:v>MACD State</x:v>
      </x:c>
      <x:c r="AQ4" s="99" t="str">
        <x:v>Short Interest Trend</x:v>
      </x:c>
      <x:c r="AR4" s="99" t="str">
        <x:v>Analyst Influence</x:v>
      </x:c>
      <x:c r="AS4" s="99" t="str">
        <x:v>MTF Observation</x:v>
      </x:c>
    </x:row>
    <x:row r="5" ht="30" customHeight="1">
      <x:c r="A5" s="107" t="str">
        <x:v>EF-001</x:v>
      </x:c>
      <x:c r="B5" s="113"/>
      <x:c r="C5" s="113"/>
      <x:c r="D5" s="113"/>
      <x:c r="E5" s="113"/>
      <x:c r="F5" s="113"/>
      <x:c r="G5" s="113"/>
      <x:c r="H5" s="113"/>
      <x:c r="I5" s="113"/>
      <x:c r="J5" s="113"/>
      <x:c r="K5" s="113"/>
      <x:c r="L5" s="113"/>
      <x:c r="M5" s="113"/>
      <x:c r="N5" s="137"/>
      <x:c r="O5" s="141"/>
      <x:c r="P5" s="143"/>
      <x:c r="Q5" s="143"/>
      <x:c r="R5" s="113"/>
      <x:c r="S5" s="113"/>
      <x:c r="T5" s="143"/>
      <x:c r="U5" s="113"/>
      <x:c r="V5" s="113"/>
      <x:c r="W5" s="113"/>
      <x:c r="X5" s="113"/>
      <x:c r="Y5" s="139"/>
      <x:c r="Z5" s="145"/>
      <x:c r="AA5" s="145"/>
      <x:c r="AB5" s="147" t="str">
        <x:f>IF(OR(AA5="",T5=""),"",AA5/T5)</x:f>
      </x:c>
      <x:c r="AC5" s="149" t="str">
        <x:f>IF(OR(Y5="",N5=""),"",Y5-N5)</x:f>
      </x:c>
      <x:c r="AD5" s="120"/>
      <x:c r="AE5" s="120"/>
      <x:c r="AF5" s="120"/>
      <x:c r="AG5" s="120"/>
      <x:c r="AH5" s="120"/>
      <x:c r="AI5" s="133"/>
      <x:c r="AJ5" s="133"/>
      <x:c r="AK5" s="133"/>
      <x:c r="AL5" s="133"/>
      <x:c r="AM5" s="151"/>
      <x:c r="AN5" s="151"/>
      <x:c r="AO5" s="133"/>
      <x:c r="AP5" s="133"/>
      <x:c r="AQ5" s="133"/>
      <x:c r="AR5" s="133"/>
      <x:c r="AS5" s="133"/>
    </x:row>
    <x:row r="6" ht="30" customHeight="1">
      <x:c r="A6" s="107" t="str">
        <x:v>EF-002</x:v>
      </x:c>
      <x:c r="B6" s="113"/>
      <x:c r="C6" s="113"/>
      <x:c r="D6" s="113"/>
      <x:c r="E6" s="113"/>
      <x:c r="F6" s="113"/>
      <x:c r="G6" s="113"/>
      <x:c r="H6" s="113"/>
      <x:c r="I6" s="113"/>
      <x:c r="J6" s="113"/>
      <x:c r="K6" s="113"/>
      <x:c r="L6" s="113"/>
      <x:c r="M6" s="113"/>
      <x:c r="N6" s="137"/>
      <x:c r="O6" s="141"/>
      <x:c r="P6" s="143"/>
      <x:c r="Q6" s="143"/>
      <x:c r="R6" s="113"/>
      <x:c r="S6" s="113"/>
      <x:c r="T6" s="143"/>
      <x:c r="U6" s="113"/>
      <x:c r="V6" s="113"/>
      <x:c r="W6" s="113"/>
      <x:c r="X6" s="113"/>
      <x:c r="Y6" s="139"/>
      <x:c r="Z6" s="145"/>
      <x:c r="AA6" s="145"/>
      <x:c r="AB6" s="147" t="str">
        <x:f>IF(OR(AA6="",T6=""),"",AA6/T6)</x:f>
      </x:c>
      <x:c r="AC6" s="149" t="str">
        <x:f>IF(OR(Y6="",N6=""),"",Y6-N6)</x:f>
      </x:c>
      <x:c r="AD6" s="120"/>
      <x:c r="AE6" s="120"/>
      <x:c r="AF6" s="120"/>
      <x:c r="AG6" s="120"/>
      <x:c r="AH6" s="120"/>
      <x:c r="AI6" s="133"/>
      <x:c r="AJ6" s="133"/>
      <x:c r="AK6" s="133"/>
      <x:c r="AL6" s="133"/>
      <x:c r="AM6" s="151"/>
      <x:c r="AN6" s="151"/>
      <x:c r="AO6" s="133"/>
      <x:c r="AP6" s="133"/>
      <x:c r="AQ6" s="133"/>
      <x:c r="AR6" s="133"/>
      <x:c r="AS6" s="133"/>
    </x:row>
    <x:row r="7" ht="30" customHeight="1">
      <x:c r="A7" s="107" t="str">
        <x:v>EF-003</x:v>
      </x:c>
      <x:c r="B7" s="113"/>
      <x:c r="C7" s="113"/>
      <x:c r="D7" s="113"/>
      <x:c r="E7" s="113"/>
      <x:c r="F7" s="113"/>
      <x:c r="G7" s="113"/>
      <x:c r="H7" s="113"/>
      <x:c r="I7" s="113"/>
      <x:c r="J7" s="113"/>
      <x:c r="K7" s="113"/>
      <x:c r="L7" s="113"/>
      <x:c r="M7" s="113"/>
      <x:c r="N7" s="137"/>
      <x:c r="O7" s="141"/>
      <x:c r="P7" s="143"/>
      <x:c r="Q7" s="143"/>
      <x:c r="R7" s="113"/>
      <x:c r="S7" s="113"/>
      <x:c r="T7" s="143"/>
      <x:c r="U7" s="113"/>
      <x:c r="V7" s="113"/>
      <x:c r="W7" s="113"/>
      <x:c r="X7" s="113"/>
      <x:c r="Y7" s="139"/>
      <x:c r="Z7" s="145"/>
      <x:c r="AA7" s="145"/>
      <x:c r="AB7" s="147" t="str">
        <x:f>IF(OR(AA7="",T7=""),"",AA7/T7)</x:f>
      </x:c>
      <x:c r="AC7" s="149" t="str">
        <x:f>IF(OR(Y7="",N7=""),"",Y7-N7)</x:f>
      </x:c>
      <x:c r="AD7" s="120"/>
      <x:c r="AE7" s="120"/>
      <x:c r="AF7" s="120"/>
      <x:c r="AG7" s="120"/>
      <x:c r="AH7" s="120"/>
      <x:c r="AI7" s="133"/>
      <x:c r="AJ7" s="133"/>
      <x:c r="AK7" s="133"/>
      <x:c r="AL7" s="133"/>
      <x:c r="AM7" s="151"/>
      <x:c r="AN7" s="151"/>
      <x:c r="AO7" s="133"/>
      <x:c r="AP7" s="133"/>
      <x:c r="AQ7" s="133"/>
      <x:c r="AR7" s="133"/>
      <x:c r="AS7" s="133"/>
    </x:row>
    <x:row r="8" ht="30" customHeight="1">
      <x:c r="A8" s="107" t="str">
        <x:v>EF-004</x:v>
      </x:c>
      <x:c r="B8" s="113"/>
      <x:c r="C8" s="113"/>
      <x:c r="D8" s="113"/>
      <x:c r="E8" s="113"/>
      <x:c r="F8" s="113"/>
      <x:c r="G8" s="113"/>
      <x:c r="H8" s="113"/>
      <x:c r="I8" s="113"/>
      <x:c r="J8" s="113"/>
      <x:c r="K8" s="113"/>
      <x:c r="L8" s="113"/>
      <x:c r="M8" s="113"/>
      <x:c r="N8" s="137"/>
      <x:c r="O8" s="141"/>
      <x:c r="P8" s="143"/>
      <x:c r="Q8" s="143"/>
      <x:c r="R8" s="113"/>
      <x:c r="S8" s="113"/>
      <x:c r="T8" s="143"/>
      <x:c r="U8" s="113"/>
      <x:c r="V8" s="113"/>
      <x:c r="W8" s="113"/>
      <x:c r="X8" s="113"/>
      <x:c r="Y8" s="139"/>
      <x:c r="Z8" s="145"/>
      <x:c r="AA8" s="145"/>
      <x:c r="AB8" s="147" t="str">
        <x:f>IF(OR(AA8="",T8=""),"",AA8/T8)</x:f>
      </x:c>
      <x:c r="AC8" s="149" t="str">
        <x:f>IF(OR(Y8="",N8=""),"",Y8-N8)</x:f>
      </x:c>
      <x:c r="AD8" s="120"/>
      <x:c r="AE8" s="120"/>
      <x:c r="AF8" s="120"/>
      <x:c r="AG8" s="120"/>
      <x:c r="AH8" s="120"/>
      <x:c r="AI8" s="133"/>
      <x:c r="AJ8" s="133"/>
      <x:c r="AK8" s="133"/>
      <x:c r="AL8" s="133"/>
      <x:c r="AM8" s="151"/>
      <x:c r="AN8" s="151"/>
      <x:c r="AO8" s="133"/>
      <x:c r="AP8" s="133"/>
      <x:c r="AQ8" s="133"/>
      <x:c r="AR8" s="133"/>
      <x:c r="AS8" s="133"/>
    </x:row>
    <x:row r="9" ht="30" customHeight="1">
      <x:c r="A9" s="107" t="str">
        <x:v>EF-005</x:v>
      </x:c>
      <x:c r="B9" s="113"/>
      <x:c r="C9" s="113"/>
      <x:c r="D9" s="113"/>
      <x:c r="E9" s="113"/>
      <x:c r="F9" s="113"/>
      <x:c r="G9" s="113"/>
      <x:c r="H9" s="113"/>
      <x:c r="I9" s="113"/>
      <x:c r="J9" s="113"/>
      <x:c r="K9" s="113"/>
      <x:c r="L9" s="113"/>
      <x:c r="M9" s="113"/>
      <x:c r="N9" s="137"/>
      <x:c r="O9" s="141"/>
      <x:c r="P9" s="143"/>
      <x:c r="Q9" s="143"/>
      <x:c r="R9" s="113"/>
      <x:c r="S9" s="113"/>
      <x:c r="T9" s="143"/>
      <x:c r="U9" s="113"/>
      <x:c r="V9" s="113"/>
      <x:c r="W9" s="113"/>
      <x:c r="X9" s="113"/>
      <x:c r="Y9" s="139"/>
      <x:c r="Z9" s="145"/>
      <x:c r="AA9" s="145"/>
      <x:c r="AB9" s="147" t="str">
        <x:f>IF(OR(AA9="",T9=""),"",AA9/T9)</x:f>
      </x:c>
      <x:c r="AC9" s="149" t="str">
        <x:f>IF(OR(Y9="",N9=""),"",Y9-N9)</x:f>
      </x:c>
      <x:c r="AD9" s="120"/>
      <x:c r="AE9" s="120"/>
      <x:c r="AF9" s="120"/>
      <x:c r="AG9" s="120"/>
      <x:c r="AH9" s="120"/>
      <x:c r="AI9" s="133"/>
      <x:c r="AJ9" s="133"/>
      <x:c r="AK9" s="133"/>
      <x:c r="AL9" s="133"/>
      <x:c r="AM9" s="151"/>
      <x:c r="AN9" s="151"/>
      <x:c r="AO9" s="133"/>
      <x:c r="AP9" s="133"/>
      <x:c r="AQ9" s="133"/>
      <x:c r="AR9" s="133"/>
      <x:c r="AS9" s="133"/>
    </x:row>
    <x:row r="10" ht="30" customHeight="1">
      <x:c r="A10" s="107" t="str">
        <x:v>EF-006</x:v>
      </x:c>
      <x:c r="B10" s="113"/>
      <x:c r="C10" s="113"/>
      <x:c r="D10" s="113"/>
      <x:c r="E10" s="113"/>
      <x:c r="F10" s="113"/>
      <x:c r="G10" s="113"/>
      <x:c r="H10" s="113"/>
      <x:c r="I10" s="113"/>
      <x:c r="J10" s="113"/>
      <x:c r="K10" s="113"/>
      <x:c r="L10" s="113"/>
      <x:c r="M10" s="113"/>
      <x:c r="N10" s="137"/>
      <x:c r="O10" s="141"/>
      <x:c r="P10" s="143"/>
      <x:c r="Q10" s="143"/>
      <x:c r="R10" s="113"/>
      <x:c r="S10" s="113"/>
      <x:c r="T10" s="143"/>
      <x:c r="U10" s="113"/>
      <x:c r="V10" s="113"/>
      <x:c r="W10" s="113"/>
      <x:c r="X10" s="113"/>
      <x:c r="Y10" s="139"/>
      <x:c r="Z10" s="145"/>
      <x:c r="AA10" s="145"/>
      <x:c r="AB10" s="147" t="str">
        <x:f>IF(OR(AA10="",T10=""),"",AA10/T10)</x:f>
      </x:c>
      <x:c r="AC10" s="149" t="str">
        <x:f>IF(OR(Y10="",N10=""),"",Y10-N10)</x:f>
      </x:c>
      <x:c r="AD10" s="120"/>
      <x:c r="AE10" s="120"/>
      <x:c r="AF10" s="120"/>
      <x:c r="AG10" s="120"/>
      <x:c r="AH10" s="120"/>
      <x:c r="AI10" s="133"/>
      <x:c r="AJ10" s="133"/>
      <x:c r="AK10" s="133"/>
      <x:c r="AL10" s="133"/>
      <x:c r="AM10" s="151"/>
      <x:c r="AN10" s="151"/>
      <x:c r="AO10" s="133"/>
      <x:c r="AP10" s="133"/>
      <x:c r="AQ10" s="133"/>
      <x:c r="AR10" s="133"/>
      <x:c r="AS10" s="133"/>
    </x:row>
    <x:row r="11" ht="30" customHeight="1">
      <x:c r="A11" s="107" t="str">
        <x:v>EF-007</x:v>
      </x:c>
      <x:c r="B11" s="113"/>
      <x:c r="C11" s="113"/>
      <x:c r="D11" s="113"/>
      <x:c r="E11" s="113"/>
      <x:c r="F11" s="113"/>
      <x:c r="G11" s="113"/>
      <x:c r="H11" s="113"/>
      <x:c r="I11" s="113"/>
      <x:c r="J11" s="113"/>
      <x:c r="K11" s="113"/>
      <x:c r="L11" s="113"/>
      <x:c r="M11" s="113"/>
      <x:c r="N11" s="137"/>
      <x:c r="O11" s="141"/>
      <x:c r="P11" s="143"/>
      <x:c r="Q11" s="143"/>
      <x:c r="R11" s="113"/>
      <x:c r="S11" s="113"/>
      <x:c r="T11" s="143"/>
      <x:c r="U11" s="113"/>
      <x:c r="V11" s="113"/>
      <x:c r="W11" s="113"/>
      <x:c r="X11" s="113"/>
      <x:c r="Y11" s="139"/>
      <x:c r="Z11" s="145"/>
      <x:c r="AA11" s="145"/>
      <x:c r="AB11" s="147" t="str">
        <x:f>IF(OR(AA11="",T11=""),"",AA11/T11)</x:f>
      </x:c>
      <x:c r="AC11" s="149" t="str">
        <x:f>IF(OR(Y11="",N11=""),"",Y11-N11)</x:f>
      </x:c>
      <x:c r="AD11" s="120"/>
      <x:c r="AE11" s="120"/>
      <x:c r="AF11" s="120"/>
      <x:c r="AG11" s="120"/>
      <x:c r="AH11" s="120"/>
      <x:c r="AI11" s="133"/>
      <x:c r="AJ11" s="133"/>
      <x:c r="AK11" s="133"/>
      <x:c r="AL11" s="133"/>
      <x:c r="AM11" s="151"/>
      <x:c r="AN11" s="151"/>
      <x:c r="AO11" s="133"/>
      <x:c r="AP11" s="133"/>
      <x:c r="AQ11" s="133"/>
      <x:c r="AR11" s="133"/>
      <x:c r="AS11" s="133"/>
    </x:row>
    <x:row r="12" ht="30" customHeight="1">
      <x:c r="A12" s="107" t="str">
        <x:v>EF-008</x:v>
      </x:c>
      <x:c r="B12" s="113"/>
      <x:c r="C12" s="113"/>
      <x:c r="D12" s="113"/>
      <x:c r="E12" s="113"/>
      <x:c r="F12" s="113"/>
      <x:c r="G12" s="113"/>
      <x:c r="H12" s="113"/>
      <x:c r="I12" s="113"/>
      <x:c r="J12" s="113"/>
      <x:c r="K12" s="113"/>
      <x:c r="L12" s="113"/>
      <x:c r="M12" s="113"/>
      <x:c r="N12" s="137"/>
      <x:c r="O12" s="141"/>
      <x:c r="P12" s="143"/>
      <x:c r="Q12" s="143"/>
      <x:c r="R12" s="113"/>
      <x:c r="S12" s="113"/>
      <x:c r="T12" s="143"/>
      <x:c r="U12" s="113"/>
      <x:c r="V12" s="113"/>
      <x:c r="W12" s="113"/>
      <x:c r="X12" s="113"/>
      <x:c r="Y12" s="139"/>
      <x:c r="Z12" s="145"/>
      <x:c r="AA12" s="145"/>
      <x:c r="AB12" s="147" t="str">
        <x:f>IF(OR(AA12="",T12=""),"",AA12/T12)</x:f>
      </x:c>
      <x:c r="AC12" s="149" t="str">
        <x:f>IF(OR(Y12="",N12=""),"",Y12-N12)</x:f>
      </x:c>
      <x:c r="AD12" s="120"/>
      <x:c r="AE12" s="120"/>
      <x:c r="AF12" s="120"/>
      <x:c r="AG12" s="120"/>
      <x:c r="AH12" s="120"/>
      <x:c r="AI12" s="133"/>
      <x:c r="AJ12" s="133"/>
      <x:c r="AK12" s="133"/>
      <x:c r="AL12" s="133"/>
      <x:c r="AM12" s="151"/>
      <x:c r="AN12" s="151"/>
      <x:c r="AO12" s="133"/>
      <x:c r="AP12" s="133"/>
      <x:c r="AQ12" s="133"/>
      <x:c r="AR12" s="133"/>
      <x:c r="AS12" s="133"/>
    </x:row>
    <x:row r="13" ht="30" customHeight="1">
      <x:c r="A13" s="107" t="str">
        <x:v>EF-009</x:v>
      </x:c>
      <x:c r="B13" s="113"/>
      <x:c r="C13" s="113"/>
      <x:c r="D13" s="113"/>
      <x:c r="E13" s="113"/>
      <x:c r="F13" s="113"/>
      <x:c r="G13" s="113"/>
      <x:c r="H13" s="113"/>
      <x:c r="I13" s="113"/>
      <x:c r="J13" s="113"/>
      <x:c r="K13" s="113"/>
      <x:c r="L13" s="113"/>
      <x:c r="M13" s="113"/>
      <x:c r="N13" s="137"/>
      <x:c r="O13" s="141"/>
      <x:c r="P13" s="143"/>
      <x:c r="Q13" s="143"/>
      <x:c r="R13" s="113"/>
      <x:c r="S13" s="113"/>
      <x:c r="T13" s="143"/>
      <x:c r="U13" s="113"/>
      <x:c r="V13" s="113"/>
      <x:c r="W13" s="113"/>
      <x:c r="X13" s="113"/>
      <x:c r="Y13" s="139"/>
      <x:c r="Z13" s="145"/>
      <x:c r="AA13" s="145"/>
      <x:c r="AB13" s="147" t="str">
        <x:f>IF(OR(AA13="",T13=""),"",AA13/T13)</x:f>
      </x:c>
      <x:c r="AC13" s="149" t="str">
        <x:f>IF(OR(Y13="",N13=""),"",Y13-N13)</x:f>
      </x:c>
      <x:c r="AD13" s="120"/>
      <x:c r="AE13" s="120"/>
      <x:c r="AF13" s="120"/>
      <x:c r="AG13" s="120"/>
      <x:c r="AH13" s="120"/>
      <x:c r="AI13" s="133"/>
      <x:c r="AJ13" s="133"/>
      <x:c r="AK13" s="133"/>
      <x:c r="AL13" s="133"/>
      <x:c r="AM13" s="151"/>
      <x:c r="AN13" s="151"/>
      <x:c r="AO13" s="133"/>
      <x:c r="AP13" s="133"/>
      <x:c r="AQ13" s="133"/>
      <x:c r="AR13" s="133"/>
      <x:c r="AS13" s="133"/>
    </x:row>
    <x:row r="14" ht="30" customHeight="1">
      <x:c r="A14" s="107" t="str">
        <x:v>EF-010</x:v>
      </x:c>
      <x:c r="B14" s="113"/>
      <x:c r="C14" s="113"/>
      <x:c r="D14" s="113"/>
      <x:c r="E14" s="113"/>
      <x:c r="F14" s="113"/>
      <x:c r="G14" s="113"/>
      <x:c r="H14" s="113"/>
      <x:c r="I14" s="113"/>
      <x:c r="J14" s="113"/>
      <x:c r="K14" s="113"/>
      <x:c r="L14" s="113"/>
      <x:c r="M14" s="113"/>
      <x:c r="N14" s="137"/>
      <x:c r="O14" s="141"/>
      <x:c r="P14" s="143"/>
      <x:c r="Q14" s="143"/>
      <x:c r="R14" s="113"/>
      <x:c r="S14" s="113"/>
      <x:c r="T14" s="143"/>
      <x:c r="U14" s="113"/>
      <x:c r="V14" s="113"/>
      <x:c r="W14" s="113"/>
      <x:c r="X14" s="113"/>
      <x:c r="Y14" s="139"/>
      <x:c r="Z14" s="145"/>
      <x:c r="AA14" s="145"/>
      <x:c r="AB14" s="147" t="str">
        <x:f>IF(OR(AA14="",T14=""),"",AA14/T14)</x:f>
      </x:c>
      <x:c r="AC14" s="149" t="str">
        <x:f>IF(OR(Y14="",N14=""),"",Y14-N14)</x:f>
      </x:c>
      <x:c r="AD14" s="120"/>
      <x:c r="AE14" s="120"/>
      <x:c r="AF14" s="120"/>
      <x:c r="AG14" s="120"/>
      <x:c r="AH14" s="120"/>
      <x:c r="AI14" s="133"/>
      <x:c r="AJ14" s="133"/>
      <x:c r="AK14" s="133"/>
      <x:c r="AL14" s="133"/>
      <x:c r="AM14" s="151"/>
      <x:c r="AN14" s="151"/>
      <x:c r="AO14" s="133"/>
      <x:c r="AP14" s="133"/>
      <x:c r="AQ14" s="133"/>
      <x:c r="AR14" s="133"/>
      <x:c r="AS14" s="133"/>
    </x:row>
    <x:row r="15" ht="30" customHeight="1">
      <x:c r="A15" s="107" t="str">
        <x:v>EF-011</x:v>
      </x:c>
      <x:c r="B15" s="113"/>
      <x:c r="C15" s="113"/>
      <x:c r="D15" s="113"/>
      <x:c r="E15" s="113"/>
      <x:c r="F15" s="113"/>
      <x:c r="G15" s="113"/>
      <x:c r="H15" s="113"/>
      <x:c r="I15" s="113"/>
      <x:c r="J15" s="113"/>
      <x:c r="K15" s="113"/>
      <x:c r="L15" s="113"/>
      <x:c r="M15" s="113"/>
      <x:c r="N15" s="137"/>
      <x:c r="O15" s="141"/>
      <x:c r="P15" s="143"/>
      <x:c r="Q15" s="143"/>
      <x:c r="R15" s="113"/>
      <x:c r="S15" s="113"/>
      <x:c r="T15" s="143"/>
      <x:c r="U15" s="113"/>
      <x:c r="V15" s="113"/>
      <x:c r="W15" s="113"/>
      <x:c r="X15" s="113"/>
      <x:c r="Y15" s="139"/>
      <x:c r="Z15" s="145"/>
      <x:c r="AA15" s="145"/>
      <x:c r="AB15" s="147" t="str">
        <x:f>IF(OR(AA15="",T15=""),"",AA15/T15)</x:f>
      </x:c>
      <x:c r="AC15" s="149" t="str">
        <x:f>IF(OR(Y15="",N15=""),"",Y15-N15)</x:f>
      </x:c>
      <x:c r="AD15" s="120"/>
      <x:c r="AE15" s="120"/>
      <x:c r="AF15" s="120"/>
      <x:c r="AG15" s="120"/>
      <x:c r="AH15" s="120"/>
      <x:c r="AI15" s="133"/>
      <x:c r="AJ15" s="133"/>
      <x:c r="AK15" s="133"/>
      <x:c r="AL15" s="133"/>
      <x:c r="AM15" s="151"/>
      <x:c r="AN15" s="151"/>
      <x:c r="AO15" s="133"/>
      <x:c r="AP15" s="133"/>
      <x:c r="AQ15" s="133"/>
      <x:c r="AR15" s="133"/>
      <x:c r="AS15" s="133"/>
    </x:row>
    <x:row r="16" ht="30" customHeight="1">
      <x:c r="A16" s="107" t="str">
        <x:v>EF-012</x:v>
      </x:c>
      <x:c r="B16" s="113"/>
      <x:c r="C16" s="113"/>
      <x:c r="D16" s="113"/>
      <x:c r="E16" s="113"/>
      <x:c r="F16" s="113"/>
      <x:c r="G16" s="113"/>
      <x:c r="H16" s="113"/>
      <x:c r="I16" s="113"/>
      <x:c r="J16" s="113"/>
      <x:c r="K16" s="113"/>
      <x:c r="L16" s="113"/>
      <x:c r="M16" s="113"/>
      <x:c r="N16" s="137"/>
      <x:c r="O16" s="141"/>
      <x:c r="P16" s="143"/>
      <x:c r="Q16" s="143"/>
      <x:c r="R16" s="113"/>
      <x:c r="S16" s="113"/>
      <x:c r="T16" s="143"/>
      <x:c r="U16" s="113"/>
      <x:c r="V16" s="113"/>
      <x:c r="W16" s="113"/>
      <x:c r="X16" s="113"/>
      <x:c r="Y16" s="139"/>
      <x:c r="Z16" s="145"/>
      <x:c r="AA16" s="145"/>
      <x:c r="AB16" s="147" t="str">
        <x:f>IF(OR(AA16="",T16=""),"",AA16/T16)</x:f>
      </x:c>
      <x:c r="AC16" s="149" t="str">
        <x:f>IF(OR(Y16="",N16=""),"",Y16-N16)</x:f>
      </x:c>
      <x:c r="AD16" s="120"/>
      <x:c r="AE16" s="120"/>
      <x:c r="AF16" s="120"/>
      <x:c r="AG16" s="120"/>
      <x:c r="AH16" s="120"/>
      <x:c r="AI16" s="133"/>
      <x:c r="AJ16" s="133"/>
      <x:c r="AK16" s="133"/>
      <x:c r="AL16" s="133"/>
      <x:c r="AM16" s="151"/>
      <x:c r="AN16" s="151"/>
      <x:c r="AO16" s="133"/>
      <x:c r="AP16" s="133"/>
      <x:c r="AQ16" s="133"/>
      <x:c r="AR16" s="133"/>
      <x:c r="AS16" s="133"/>
    </x:row>
    <x:row r="17" ht="30" customHeight="1">
      <x:c r="A17" s="107" t="str">
        <x:v>EF-013</x:v>
      </x:c>
      <x:c r="B17" s="113"/>
      <x:c r="C17" s="113"/>
      <x:c r="D17" s="113"/>
      <x:c r="E17" s="113"/>
      <x:c r="F17" s="113"/>
      <x:c r="G17" s="113"/>
      <x:c r="H17" s="113"/>
      <x:c r="I17" s="113"/>
      <x:c r="J17" s="113"/>
      <x:c r="K17" s="113"/>
      <x:c r="L17" s="113"/>
      <x:c r="M17" s="113"/>
      <x:c r="N17" s="137"/>
      <x:c r="O17" s="141"/>
      <x:c r="P17" s="143"/>
      <x:c r="Q17" s="143"/>
      <x:c r="R17" s="113"/>
      <x:c r="S17" s="113"/>
      <x:c r="T17" s="143"/>
      <x:c r="U17" s="113"/>
      <x:c r="V17" s="113"/>
      <x:c r="W17" s="113"/>
      <x:c r="X17" s="113"/>
      <x:c r="Y17" s="139"/>
      <x:c r="Z17" s="145"/>
      <x:c r="AA17" s="145"/>
      <x:c r="AB17" s="147" t="str">
        <x:f>IF(OR(AA17="",T17=""),"",AA17/T17)</x:f>
      </x:c>
      <x:c r="AC17" s="149" t="str">
        <x:f>IF(OR(Y17="",N17=""),"",Y17-N17)</x:f>
      </x:c>
      <x:c r="AD17" s="120"/>
      <x:c r="AE17" s="120"/>
      <x:c r="AF17" s="120"/>
      <x:c r="AG17" s="120"/>
      <x:c r="AH17" s="120"/>
      <x:c r="AI17" s="133"/>
      <x:c r="AJ17" s="133"/>
      <x:c r="AK17" s="133"/>
      <x:c r="AL17" s="133"/>
      <x:c r="AM17" s="151"/>
      <x:c r="AN17" s="151"/>
      <x:c r="AO17" s="133"/>
      <x:c r="AP17" s="133"/>
      <x:c r="AQ17" s="133"/>
      <x:c r="AR17" s="133"/>
      <x:c r="AS17" s="133"/>
    </x:row>
    <x:row r="18" ht="30" customHeight="1">
      <x:c r="A18" s="107" t="str">
        <x:v>EF-014</x:v>
      </x:c>
      <x:c r="B18" s="113"/>
      <x:c r="C18" s="113"/>
      <x:c r="D18" s="113"/>
      <x:c r="E18" s="113"/>
      <x:c r="F18" s="113"/>
      <x:c r="G18" s="113"/>
      <x:c r="H18" s="113"/>
      <x:c r="I18" s="113"/>
      <x:c r="J18" s="113"/>
      <x:c r="K18" s="113"/>
      <x:c r="L18" s="113"/>
      <x:c r="M18" s="113"/>
      <x:c r="N18" s="137"/>
      <x:c r="O18" s="141"/>
      <x:c r="P18" s="143"/>
      <x:c r="Q18" s="143"/>
      <x:c r="R18" s="113"/>
      <x:c r="S18" s="113"/>
      <x:c r="T18" s="143"/>
      <x:c r="U18" s="113"/>
      <x:c r="V18" s="113"/>
      <x:c r="W18" s="113"/>
      <x:c r="X18" s="113"/>
      <x:c r="Y18" s="139"/>
      <x:c r="Z18" s="145"/>
      <x:c r="AA18" s="145"/>
      <x:c r="AB18" s="147" t="str">
        <x:f>IF(OR(AA18="",T18=""),"",AA18/T18)</x:f>
      </x:c>
      <x:c r="AC18" s="149" t="str">
        <x:f>IF(OR(Y18="",N18=""),"",Y18-N18)</x:f>
      </x:c>
      <x:c r="AD18" s="120"/>
      <x:c r="AE18" s="120"/>
      <x:c r="AF18" s="120"/>
      <x:c r="AG18" s="120"/>
      <x:c r="AH18" s="120"/>
      <x:c r="AI18" s="133"/>
      <x:c r="AJ18" s="133"/>
      <x:c r="AK18" s="133"/>
      <x:c r="AL18" s="133"/>
      <x:c r="AM18" s="151"/>
      <x:c r="AN18" s="151"/>
      <x:c r="AO18" s="133"/>
      <x:c r="AP18" s="133"/>
      <x:c r="AQ18" s="133"/>
      <x:c r="AR18" s="133"/>
      <x:c r="AS18" s="133"/>
    </x:row>
    <x:row r="19" ht="30" customHeight="1">
      <x:c r="A19" s="107" t="str">
        <x:v>EF-015</x:v>
      </x:c>
      <x:c r="B19" s="113"/>
      <x:c r="C19" s="113"/>
      <x:c r="D19" s="113"/>
      <x:c r="E19" s="113"/>
      <x:c r="F19" s="113"/>
      <x:c r="G19" s="113"/>
      <x:c r="H19" s="113"/>
      <x:c r="I19" s="113"/>
      <x:c r="J19" s="113"/>
      <x:c r="K19" s="113"/>
      <x:c r="L19" s="113"/>
      <x:c r="M19" s="113"/>
      <x:c r="N19" s="137"/>
      <x:c r="O19" s="141"/>
      <x:c r="P19" s="143"/>
      <x:c r="Q19" s="143"/>
      <x:c r="R19" s="113"/>
      <x:c r="S19" s="113"/>
      <x:c r="T19" s="143"/>
      <x:c r="U19" s="113"/>
      <x:c r="V19" s="113"/>
      <x:c r="W19" s="113"/>
      <x:c r="X19" s="113"/>
      <x:c r="Y19" s="139"/>
      <x:c r="Z19" s="145"/>
      <x:c r="AA19" s="145"/>
      <x:c r="AB19" s="147" t="str">
        <x:f>IF(OR(AA19="",T19=""),"",AA19/T19)</x:f>
      </x:c>
      <x:c r="AC19" s="149" t="str">
        <x:f>IF(OR(Y19="",N19=""),"",Y19-N19)</x:f>
      </x:c>
      <x:c r="AD19" s="120"/>
      <x:c r="AE19" s="120"/>
      <x:c r="AF19" s="120"/>
      <x:c r="AG19" s="120"/>
      <x:c r="AH19" s="120"/>
      <x:c r="AI19" s="133"/>
      <x:c r="AJ19" s="133"/>
      <x:c r="AK19" s="133"/>
      <x:c r="AL19" s="133"/>
      <x:c r="AM19" s="151"/>
      <x:c r="AN19" s="151"/>
      <x:c r="AO19" s="133"/>
      <x:c r="AP19" s="133"/>
      <x:c r="AQ19" s="133"/>
      <x:c r="AR19" s="133"/>
      <x:c r="AS19" s="133"/>
    </x:row>
    <x:row r="20" ht="30" customHeight="1">
      <x:c r="A20" s="107" t="str">
        <x:v>EF-016</x:v>
      </x:c>
      <x:c r="B20" s="113"/>
      <x:c r="C20" s="113"/>
      <x:c r="D20" s="113"/>
      <x:c r="E20" s="113"/>
      <x:c r="F20" s="113"/>
      <x:c r="G20" s="113"/>
      <x:c r="H20" s="113"/>
      <x:c r="I20" s="113"/>
      <x:c r="J20" s="113"/>
      <x:c r="K20" s="113"/>
      <x:c r="L20" s="113"/>
      <x:c r="M20" s="113"/>
      <x:c r="N20" s="137"/>
      <x:c r="O20" s="141"/>
      <x:c r="P20" s="143"/>
      <x:c r="Q20" s="143"/>
      <x:c r="R20" s="113"/>
      <x:c r="S20" s="113"/>
      <x:c r="T20" s="143"/>
      <x:c r="U20" s="113"/>
      <x:c r="V20" s="113"/>
      <x:c r="W20" s="113"/>
      <x:c r="X20" s="113"/>
      <x:c r="Y20" s="139"/>
      <x:c r="Z20" s="145"/>
      <x:c r="AA20" s="145"/>
      <x:c r="AB20" s="147" t="str">
        <x:f>IF(OR(AA20="",T20=""),"",AA20/T20)</x:f>
      </x:c>
      <x:c r="AC20" s="149" t="str">
        <x:f>IF(OR(Y20="",N20=""),"",Y20-N20)</x:f>
      </x:c>
      <x:c r="AD20" s="120"/>
      <x:c r="AE20" s="120"/>
      <x:c r="AF20" s="120"/>
      <x:c r="AG20" s="120"/>
      <x:c r="AH20" s="120"/>
      <x:c r="AI20" s="133"/>
      <x:c r="AJ20" s="133"/>
      <x:c r="AK20" s="133"/>
      <x:c r="AL20" s="133"/>
      <x:c r="AM20" s="151"/>
      <x:c r="AN20" s="151"/>
      <x:c r="AO20" s="133"/>
      <x:c r="AP20" s="133"/>
      <x:c r="AQ20" s="133"/>
      <x:c r="AR20" s="133"/>
      <x:c r="AS20" s="133"/>
    </x:row>
    <x:row r="21" ht="30" customHeight="1">
      <x:c r="A21" s="107" t="str">
        <x:v>EF-017</x:v>
      </x:c>
      <x:c r="B21" s="113"/>
      <x:c r="C21" s="113"/>
      <x:c r="D21" s="113"/>
      <x:c r="E21" s="113"/>
      <x:c r="F21" s="113"/>
      <x:c r="G21" s="113"/>
      <x:c r="H21" s="113"/>
      <x:c r="I21" s="113"/>
      <x:c r="J21" s="113"/>
      <x:c r="K21" s="113"/>
      <x:c r="L21" s="113"/>
      <x:c r="M21" s="113"/>
      <x:c r="N21" s="137"/>
      <x:c r="O21" s="141"/>
      <x:c r="P21" s="143"/>
      <x:c r="Q21" s="143"/>
      <x:c r="R21" s="113"/>
      <x:c r="S21" s="113"/>
      <x:c r="T21" s="143"/>
      <x:c r="U21" s="113"/>
      <x:c r="V21" s="113"/>
      <x:c r="W21" s="113"/>
      <x:c r="X21" s="113"/>
      <x:c r="Y21" s="139"/>
      <x:c r="Z21" s="145"/>
      <x:c r="AA21" s="145"/>
      <x:c r="AB21" s="147" t="str">
        <x:f>IF(OR(AA21="",T21=""),"",AA21/T21)</x:f>
      </x:c>
      <x:c r="AC21" s="149" t="str">
        <x:f>IF(OR(Y21="",N21=""),"",Y21-N21)</x:f>
      </x:c>
      <x:c r="AD21" s="120"/>
      <x:c r="AE21" s="120"/>
      <x:c r="AF21" s="120"/>
      <x:c r="AG21" s="120"/>
      <x:c r="AH21" s="120"/>
      <x:c r="AI21" s="133"/>
      <x:c r="AJ21" s="133"/>
      <x:c r="AK21" s="133"/>
      <x:c r="AL21" s="133"/>
      <x:c r="AM21" s="151"/>
      <x:c r="AN21" s="151"/>
      <x:c r="AO21" s="133"/>
      <x:c r="AP21" s="133"/>
      <x:c r="AQ21" s="133"/>
      <x:c r="AR21" s="133"/>
      <x:c r="AS21" s="133"/>
    </x:row>
    <x:row r="22" ht="30" customHeight="1">
      <x:c r="A22" s="107" t="str">
        <x:v>EF-018</x:v>
      </x:c>
      <x:c r="B22" s="113"/>
      <x:c r="C22" s="113"/>
      <x:c r="D22" s="113"/>
      <x:c r="E22" s="113"/>
      <x:c r="F22" s="113"/>
      <x:c r="G22" s="113"/>
      <x:c r="H22" s="113"/>
      <x:c r="I22" s="113"/>
      <x:c r="J22" s="113"/>
      <x:c r="K22" s="113"/>
      <x:c r="L22" s="113"/>
      <x:c r="M22" s="113"/>
      <x:c r="N22" s="137"/>
      <x:c r="O22" s="141"/>
      <x:c r="P22" s="143"/>
      <x:c r="Q22" s="143"/>
      <x:c r="R22" s="113"/>
      <x:c r="S22" s="113"/>
      <x:c r="T22" s="143"/>
      <x:c r="U22" s="113"/>
      <x:c r="V22" s="113"/>
      <x:c r="W22" s="113"/>
      <x:c r="X22" s="113"/>
      <x:c r="Y22" s="139"/>
      <x:c r="Z22" s="145"/>
      <x:c r="AA22" s="145"/>
      <x:c r="AB22" s="147" t="str">
        <x:f>IF(OR(AA22="",T22=""),"",AA22/T22)</x:f>
      </x:c>
      <x:c r="AC22" s="149" t="str">
        <x:f>IF(OR(Y22="",N22=""),"",Y22-N22)</x:f>
      </x:c>
      <x:c r="AD22" s="120"/>
      <x:c r="AE22" s="120"/>
      <x:c r="AF22" s="120"/>
      <x:c r="AG22" s="120"/>
      <x:c r="AH22" s="120"/>
      <x:c r="AI22" s="133"/>
      <x:c r="AJ22" s="133"/>
      <x:c r="AK22" s="133"/>
      <x:c r="AL22" s="133"/>
      <x:c r="AM22" s="151"/>
      <x:c r="AN22" s="151"/>
      <x:c r="AO22" s="133"/>
      <x:c r="AP22" s="133"/>
      <x:c r="AQ22" s="133"/>
      <x:c r="AR22" s="133"/>
      <x:c r="AS22" s="133"/>
    </x:row>
    <x:row r="23" ht="30" customHeight="1">
      <x:c r="A23" s="107" t="str">
        <x:v>EF-019</x:v>
      </x:c>
      <x:c r="B23" s="113"/>
      <x:c r="C23" s="113"/>
      <x:c r="D23" s="113"/>
      <x:c r="E23" s="113"/>
      <x:c r="F23" s="113"/>
      <x:c r="G23" s="113"/>
      <x:c r="H23" s="113"/>
      <x:c r="I23" s="113"/>
      <x:c r="J23" s="113"/>
      <x:c r="K23" s="113"/>
      <x:c r="L23" s="113"/>
      <x:c r="M23" s="113"/>
      <x:c r="N23" s="137"/>
      <x:c r="O23" s="141"/>
      <x:c r="P23" s="143"/>
      <x:c r="Q23" s="143"/>
      <x:c r="R23" s="113"/>
      <x:c r="S23" s="113"/>
      <x:c r="T23" s="143"/>
      <x:c r="U23" s="113"/>
      <x:c r="V23" s="113"/>
      <x:c r="W23" s="113"/>
      <x:c r="X23" s="113"/>
      <x:c r="Y23" s="139"/>
      <x:c r="Z23" s="145"/>
      <x:c r="AA23" s="145"/>
      <x:c r="AB23" s="147" t="str">
        <x:f>IF(OR(AA23="",T23=""),"",AA23/T23)</x:f>
      </x:c>
      <x:c r="AC23" s="149" t="str">
        <x:f>IF(OR(Y23="",N23=""),"",Y23-N23)</x:f>
      </x:c>
      <x:c r="AD23" s="120"/>
      <x:c r="AE23" s="120"/>
      <x:c r="AF23" s="120"/>
      <x:c r="AG23" s="120"/>
      <x:c r="AH23" s="120"/>
      <x:c r="AI23" s="133"/>
      <x:c r="AJ23" s="133"/>
      <x:c r="AK23" s="133"/>
      <x:c r="AL23" s="133"/>
      <x:c r="AM23" s="151"/>
      <x:c r="AN23" s="151"/>
      <x:c r="AO23" s="133"/>
      <x:c r="AP23" s="133"/>
      <x:c r="AQ23" s="133"/>
      <x:c r="AR23" s="133"/>
      <x:c r="AS23" s="133"/>
    </x:row>
    <x:row r="24" ht="30" customHeight="1">
      <x:c r="A24" s="107" t="str">
        <x:v>EF-020</x:v>
      </x:c>
      <x:c r="B24" s="113"/>
      <x:c r="C24" s="113"/>
      <x:c r="D24" s="113"/>
      <x:c r="E24" s="113"/>
      <x:c r="F24" s="113"/>
      <x:c r="G24" s="113"/>
      <x:c r="H24" s="113"/>
      <x:c r="I24" s="113"/>
      <x:c r="J24" s="113"/>
      <x:c r="K24" s="113"/>
      <x:c r="L24" s="113"/>
      <x:c r="M24" s="113"/>
      <x:c r="N24" s="137"/>
      <x:c r="O24" s="141"/>
      <x:c r="P24" s="143"/>
      <x:c r="Q24" s="143"/>
      <x:c r="R24" s="113"/>
      <x:c r="S24" s="113"/>
      <x:c r="T24" s="143"/>
      <x:c r="U24" s="113"/>
      <x:c r="V24" s="113"/>
      <x:c r="W24" s="113"/>
      <x:c r="X24" s="113"/>
      <x:c r="Y24" s="139"/>
      <x:c r="Z24" s="145"/>
      <x:c r="AA24" s="145"/>
      <x:c r="AB24" s="147" t="str">
        <x:f>IF(OR(AA24="",T24=""),"",AA24/T24)</x:f>
      </x:c>
      <x:c r="AC24" s="149" t="str">
        <x:f>IF(OR(Y24="",N24=""),"",Y24-N24)</x:f>
      </x:c>
      <x:c r="AD24" s="120"/>
      <x:c r="AE24" s="120"/>
      <x:c r="AF24" s="120"/>
      <x:c r="AG24" s="120"/>
      <x:c r="AH24" s="120"/>
      <x:c r="AI24" s="133"/>
      <x:c r="AJ24" s="133"/>
      <x:c r="AK24" s="133"/>
      <x:c r="AL24" s="133"/>
      <x:c r="AM24" s="151"/>
      <x:c r="AN24" s="151"/>
      <x:c r="AO24" s="133"/>
      <x:c r="AP24" s="133"/>
      <x:c r="AQ24" s="133"/>
      <x:c r="AR24" s="133"/>
      <x:c r="AS24" s="133"/>
    </x:row>
    <x:row r="25" ht="30" customHeight="1">
      <x:c r="A25" s="107" t="str">
        <x:v>EF-021</x:v>
      </x:c>
      <x:c r="B25" s="113"/>
      <x:c r="C25" s="113"/>
      <x:c r="D25" s="113"/>
      <x:c r="E25" s="113"/>
      <x:c r="F25" s="113"/>
      <x:c r="G25" s="113"/>
      <x:c r="H25" s="113"/>
      <x:c r="I25" s="113"/>
      <x:c r="J25" s="113"/>
      <x:c r="K25" s="113"/>
      <x:c r="L25" s="113"/>
      <x:c r="M25" s="113"/>
      <x:c r="N25" s="137"/>
      <x:c r="O25" s="141"/>
      <x:c r="P25" s="143"/>
      <x:c r="Q25" s="143"/>
      <x:c r="R25" s="113"/>
      <x:c r="S25" s="113"/>
      <x:c r="T25" s="143"/>
      <x:c r="U25" s="113"/>
      <x:c r="V25" s="113"/>
      <x:c r="W25" s="113"/>
      <x:c r="X25" s="113"/>
      <x:c r="Y25" s="139"/>
      <x:c r="Z25" s="145"/>
      <x:c r="AA25" s="145"/>
      <x:c r="AB25" s="147" t="str">
        <x:f>IF(OR(AA25="",T25=""),"",AA25/T25)</x:f>
      </x:c>
      <x:c r="AC25" s="149" t="str">
        <x:f>IF(OR(Y25="",N25=""),"",Y25-N25)</x:f>
      </x:c>
      <x:c r="AD25" s="120"/>
      <x:c r="AE25" s="120"/>
      <x:c r="AF25" s="120"/>
      <x:c r="AG25" s="120"/>
      <x:c r="AH25" s="120"/>
      <x:c r="AI25" s="133"/>
      <x:c r="AJ25" s="133"/>
      <x:c r="AK25" s="133"/>
      <x:c r="AL25" s="133"/>
      <x:c r="AM25" s="151"/>
      <x:c r="AN25" s="151"/>
      <x:c r="AO25" s="133"/>
      <x:c r="AP25" s="133"/>
      <x:c r="AQ25" s="133"/>
      <x:c r="AR25" s="133"/>
      <x:c r="AS25" s="133"/>
    </x:row>
    <x:row r="26" ht="30" customHeight="1">
      <x:c r="A26" s="107" t="str">
        <x:v>EF-022</x:v>
      </x:c>
      <x:c r="B26" s="113"/>
      <x:c r="C26" s="113"/>
      <x:c r="D26" s="113"/>
      <x:c r="E26" s="113"/>
      <x:c r="F26" s="113"/>
      <x:c r="G26" s="113"/>
      <x:c r="H26" s="113"/>
      <x:c r="I26" s="113"/>
      <x:c r="J26" s="113"/>
      <x:c r="K26" s="113"/>
      <x:c r="L26" s="113"/>
      <x:c r="M26" s="113"/>
      <x:c r="N26" s="137"/>
      <x:c r="O26" s="141"/>
      <x:c r="P26" s="143"/>
      <x:c r="Q26" s="143"/>
      <x:c r="R26" s="113"/>
      <x:c r="S26" s="113"/>
      <x:c r="T26" s="143"/>
      <x:c r="U26" s="113"/>
      <x:c r="V26" s="113"/>
      <x:c r="W26" s="113"/>
      <x:c r="X26" s="113"/>
      <x:c r="Y26" s="139"/>
      <x:c r="Z26" s="145"/>
      <x:c r="AA26" s="145"/>
      <x:c r="AB26" s="147" t="str">
        <x:f>IF(OR(AA26="",T26=""),"",AA26/T26)</x:f>
      </x:c>
      <x:c r="AC26" s="149" t="str">
        <x:f>IF(OR(Y26="",N26=""),"",Y26-N26)</x:f>
      </x:c>
      <x:c r="AD26" s="120"/>
      <x:c r="AE26" s="120"/>
      <x:c r="AF26" s="120"/>
      <x:c r="AG26" s="120"/>
      <x:c r="AH26" s="120"/>
      <x:c r="AI26" s="133"/>
      <x:c r="AJ26" s="133"/>
      <x:c r="AK26" s="133"/>
      <x:c r="AL26" s="133"/>
      <x:c r="AM26" s="151"/>
      <x:c r="AN26" s="151"/>
      <x:c r="AO26" s="133"/>
      <x:c r="AP26" s="133"/>
      <x:c r="AQ26" s="133"/>
      <x:c r="AR26" s="133"/>
      <x:c r="AS26" s="133"/>
    </x:row>
    <x:row r="27" ht="30" customHeight="1">
      <x:c r="A27" s="107" t="str">
        <x:v>EF-023</x:v>
      </x:c>
      <x:c r="B27" s="113"/>
      <x:c r="C27" s="113"/>
      <x:c r="D27" s="113"/>
      <x:c r="E27" s="113"/>
      <x:c r="F27" s="113"/>
      <x:c r="G27" s="113"/>
      <x:c r="H27" s="113"/>
      <x:c r="I27" s="113"/>
      <x:c r="J27" s="113"/>
      <x:c r="K27" s="113"/>
      <x:c r="L27" s="113"/>
      <x:c r="M27" s="113"/>
      <x:c r="N27" s="137"/>
      <x:c r="O27" s="141"/>
      <x:c r="P27" s="143"/>
      <x:c r="Q27" s="143"/>
      <x:c r="R27" s="113"/>
      <x:c r="S27" s="113"/>
      <x:c r="T27" s="143"/>
      <x:c r="U27" s="113"/>
      <x:c r="V27" s="113"/>
      <x:c r="W27" s="113"/>
      <x:c r="X27" s="113"/>
      <x:c r="Y27" s="139"/>
      <x:c r="Z27" s="145"/>
      <x:c r="AA27" s="145"/>
      <x:c r="AB27" s="147" t="str">
        <x:f>IF(OR(AA27="",T27=""),"",AA27/T27)</x:f>
      </x:c>
      <x:c r="AC27" s="149" t="str">
        <x:f>IF(OR(Y27="",N27=""),"",Y27-N27)</x:f>
      </x:c>
      <x:c r="AD27" s="120"/>
      <x:c r="AE27" s="120"/>
      <x:c r="AF27" s="120"/>
      <x:c r="AG27" s="120"/>
      <x:c r="AH27" s="120"/>
      <x:c r="AI27" s="133"/>
      <x:c r="AJ27" s="133"/>
      <x:c r="AK27" s="133"/>
      <x:c r="AL27" s="133"/>
      <x:c r="AM27" s="151"/>
      <x:c r="AN27" s="151"/>
      <x:c r="AO27" s="133"/>
      <x:c r="AP27" s="133"/>
      <x:c r="AQ27" s="133"/>
      <x:c r="AR27" s="133"/>
      <x:c r="AS27" s="133"/>
    </x:row>
    <x:row r="28" ht="30" customHeight="1">
      <x:c r="A28" s="107" t="str">
        <x:v>EF-024</x:v>
      </x:c>
      <x:c r="B28" s="113"/>
      <x:c r="C28" s="113"/>
      <x:c r="D28" s="113"/>
      <x:c r="E28" s="113"/>
      <x:c r="F28" s="113"/>
      <x:c r="G28" s="113"/>
      <x:c r="H28" s="113"/>
      <x:c r="I28" s="113"/>
      <x:c r="J28" s="113"/>
      <x:c r="K28" s="113"/>
      <x:c r="L28" s="113"/>
      <x:c r="M28" s="113"/>
      <x:c r="N28" s="137"/>
      <x:c r="O28" s="141"/>
      <x:c r="P28" s="143"/>
      <x:c r="Q28" s="143"/>
      <x:c r="R28" s="113"/>
      <x:c r="S28" s="113"/>
      <x:c r="T28" s="143"/>
      <x:c r="U28" s="113"/>
      <x:c r="V28" s="113"/>
      <x:c r="W28" s="113"/>
      <x:c r="X28" s="113"/>
      <x:c r="Y28" s="139"/>
      <x:c r="Z28" s="145"/>
      <x:c r="AA28" s="145"/>
      <x:c r="AB28" s="147" t="str">
        <x:f>IF(OR(AA28="",T28=""),"",AA28/T28)</x:f>
      </x:c>
      <x:c r="AC28" s="149" t="str">
        <x:f>IF(OR(Y28="",N28=""),"",Y28-N28)</x:f>
      </x:c>
      <x:c r="AD28" s="120"/>
      <x:c r="AE28" s="120"/>
      <x:c r="AF28" s="120"/>
      <x:c r="AG28" s="120"/>
      <x:c r="AH28" s="120"/>
      <x:c r="AI28" s="133"/>
      <x:c r="AJ28" s="133"/>
      <x:c r="AK28" s="133"/>
      <x:c r="AL28" s="133"/>
      <x:c r="AM28" s="151"/>
      <x:c r="AN28" s="151"/>
      <x:c r="AO28" s="133"/>
      <x:c r="AP28" s="133"/>
      <x:c r="AQ28" s="133"/>
      <x:c r="AR28" s="133"/>
      <x:c r="AS28" s="133"/>
    </x:row>
    <x:row r="29" ht="30" customHeight="1">
      <x:c r="A29" s="107" t="str">
        <x:v>EF-025</x:v>
      </x:c>
      <x:c r="B29" s="113"/>
      <x:c r="C29" s="113"/>
      <x:c r="D29" s="113"/>
      <x:c r="E29" s="113"/>
      <x:c r="F29" s="113"/>
      <x:c r="G29" s="113"/>
      <x:c r="H29" s="113"/>
      <x:c r="I29" s="113"/>
      <x:c r="J29" s="113"/>
      <x:c r="K29" s="113"/>
      <x:c r="L29" s="113"/>
      <x:c r="M29" s="113"/>
      <x:c r="N29" s="137"/>
      <x:c r="O29" s="141"/>
      <x:c r="P29" s="143"/>
      <x:c r="Q29" s="143"/>
      <x:c r="R29" s="113"/>
      <x:c r="S29" s="113"/>
      <x:c r="T29" s="143"/>
      <x:c r="U29" s="113"/>
      <x:c r="V29" s="113"/>
      <x:c r="W29" s="113"/>
      <x:c r="X29" s="113"/>
      <x:c r="Y29" s="139"/>
      <x:c r="Z29" s="145"/>
      <x:c r="AA29" s="145"/>
      <x:c r="AB29" s="147" t="str">
        <x:f>IF(OR(AA29="",T29=""),"",AA29/T29)</x:f>
      </x:c>
      <x:c r="AC29" s="149" t="str">
        <x:f>IF(OR(Y29="",N29=""),"",Y29-N29)</x:f>
      </x:c>
      <x:c r="AD29" s="120"/>
      <x:c r="AE29" s="120"/>
      <x:c r="AF29" s="120"/>
      <x:c r="AG29" s="120"/>
      <x:c r="AH29" s="120"/>
      <x:c r="AI29" s="133"/>
      <x:c r="AJ29" s="133"/>
      <x:c r="AK29" s="133"/>
      <x:c r="AL29" s="133"/>
      <x:c r="AM29" s="151"/>
      <x:c r="AN29" s="151"/>
      <x:c r="AO29" s="133"/>
      <x:c r="AP29" s="133"/>
      <x:c r="AQ29" s="133"/>
      <x:c r="AR29" s="133"/>
      <x:c r="AS29" s="133"/>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2" hidden="0" customWidth="1"/>
    <x:col min="2" max="2" width="14" hidden="0" customWidth="1"/>
    <x:col min="3" max="3" width="10" hidden="0" customWidth="1"/>
    <x:col min="4" max="4" width="12" hidden="0" customWidth="1"/>
    <x:col min="5" max="5" width="18" hidden="0" customWidth="1"/>
    <x:col min="6" max="6" width="20" hidden="0" customWidth="1"/>
    <x:col min="7" max="7" width="22" hidden="0" customWidth="1"/>
    <x:col min="8" max="8" width="36" hidden="0" customWidth="1"/>
    <x:col min="9" max="9" width="20" hidden="0" customWidth="1"/>
    <x:col min="10" max="10" width="24" hidden="0" customWidth="1"/>
    <x:col min="11" max="11" width="24" hidden="0" customWidth="1"/>
    <x:col min="12" max="12" width="16" hidden="0" customWidth="1"/>
    <x:col min="13" max="13" width="18" hidden="0" customWidth="1"/>
    <x:col min="14" max="14" width="28" hidden="0" customWidth="1"/>
    <x:col min="15" max="15" width="34" hidden="0" customWidth="1"/>
    <x:col min="16" max="16" width="16" hidden="0" customWidth="1"/>
    <x:col min="17" max="17" width="14" hidden="0" customWidth="1"/>
    <x:col min="18" max="18" width="16" hidden="0" customWidth="1"/>
    <x:col min="19" max="19" width="16" hidden="0" customWidth="1"/>
    <x:col min="20" max="20" width="34" hidden="0" customWidth="1"/>
  </x:cols>
  <x:sheetData>
    <x:row r="1" ht="28" customHeight="1">
      <x:c r="A1" s="4" t="str">
        <x:v>Candidate &amp; Signal Log - Serious Candidates and Provider Signals</x:v>
      </x:c>
      <x:c r="B1" s="4"/>
      <x:c r="C1" s="4"/>
      <x:c r="D1" s="4"/>
      <x:c r="E1" s="4"/>
      <x:c r="F1" s="4"/>
      <x:c r="G1" s="4"/>
      <x:c r="H1" s="4"/>
      <x:c r="I1" s="4"/>
      <x:c r="J1" s="4"/>
      <x:c r="K1" s="4"/>
      <x:c r="L1" s="4"/>
      <x:c r="M1" s="4"/>
      <x:c r="N1" s="4"/>
      <x:c r="O1" s="4"/>
      <x:c r="P1" s="4"/>
      <x:c r="Q1" s="4"/>
      <x:c r="R1" s="4"/>
      <x:c r="S1" s="4"/>
      <x:c r="T1" s="4"/>
    </x:row>
    <x:row r="2">
      <x:c r="A2" s="10" t="str">
        <x:v>Log Tickeron signals even when missed or skipped. For other sources, log only ideas you seriously evaluate, reject, or place on a watchlist.</x:v>
      </x:c>
      <x:c r="B2" s="10"/>
      <x:c r="C2" s="10"/>
      <x:c r="D2" s="10"/>
      <x:c r="E2" s="10"/>
      <x:c r="F2" s="10"/>
      <x:c r="G2" s="10"/>
      <x:c r="H2" s="10"/>
      <x:c r="I2" s="10"/>
      <x:c r="J2" s="10"/>
      <x:c r="K2" s="10"/>
      <x:c r="L2" s="10"/>
      <x:c r="M2" s="10"/>
      <x:c r="N2" s="10"/>
      <x:c r="O2" s="10"/>
      <x:c r="P2" s="10"/>
      <x:c r="Q2" s="10"/>
      <x:c r="R2" s="10"/>
      <x:c r="S2" s="10"/>
      <x:c r="T2" s="10"/>
    </x:row>
    <x:row r="4" ht="42" customHeight="1">
      <x:c r="A4" s="32" t="str">
        <x:v>Candidate ID</x:v>
      </x:c>
      <x:c r="B4" s="32" t="str">
        <x:v>Alert / Idea Date</x:v>
      </x:c>
      <x:c r="C4" s="32" t="str">
        <x:v>Ticker</x:v>
      </x:c>
      <x:c r="D4" s="32" t="str">
        <x:v>Direction</x:v>
      </x:c>
      <x:c r="E4" s="32" t="str">
        <x:v>Source</x:v>
      </x:c>
      <x:c r="F4" s="32" t="str">
        <x:v>Provider / Product</x:v>
      </x:c>
      <x:c r="G4" s="32" t="str">
        <x:v>Channel / Feature</x:v>
      </x:c>
      <x:c r="H4" s="32" t="str">
        <x:v>Source Thesis / Signal</x:v>
      </x:c>
      <x:c r="I4" s="32" t="str">
        <x:v>Provider Entry Range</x:v>
      </x:c>
      <x:c r="J4" s="32" t="str">
        <x:v>Provider Stop / Target</x:v>
      </x:c>
      <x:c r="K4" s="32" t="str">
        <x:v>Setup Considered</x:v>
      </x:c>
      <x:c r="L4" s="32" t="str">
        <x:v>MTF Observation</x:v>
      </x:c>
      <x:c r="M4" s="32" t="str">
        <x:v>Analyst Influence</x:v>
      </x:c>
      <x:c r="N4" s="32" t="str">
        <x:v>Candidate Status</x:v>
      </x:c>
      <x:c r="O4" s="32" t="str">
        <x:v>Decision Reason</x:v>
      </x:c>
      <x:c r="P4" s="32" t="str">
        <x:v>Price When Evaluated</x:v>
      </x:c>
      <x:c r="Q4" s="32" t="str">
        <x:v>Linked Trade ID</x:v>
      </x:c>
      <x:c r="R4" s="32" t="str">
        <x:v>1-Month Check Price</x:v>
      </x:c>
      <x:c r="S4" s="32" t="str">
        <x:v>3-Month Check Price</x:v>
      </x:c>
      <x:c r="T4" s="32" t="str">
        <x:v>Notes</x:v>
      </x:c>
    </x:row>
    <x:row r="5" ht="28" customHeight="1">
      <x:c r="A5" s="107" t="str">
        <x:v>C-001</x:v>
      </x:c>
      <x:c r="B5" s="137"/>
      <x:c r="C5" s="113"/>
      <x:c r="D5" s="113"/>
      <x:c r="E5" s="113"/>
      <x:c r="F5" s="113"/>
      <x:c r="G5" s="113"/>
      <x:c r="H5" s="113"/>
      <x:c r="I5" s="113"/>
      <x:c r="J5" s="113"/>
      <x:c r="K5" s="113"/>
      <x:c r="L5" s="113"/>
      <x:c r="M5" s="113"/>
      <x:c r="N5" s="113"/>
      <x:c r="O5" s="113"/>
      <x:c r="P5" s="143"/>
      <x:c r="Q5" s="113"/>
      <x:c r="R5" s="143"/>
      <x:c r="S5" s="143"/>
      <x:c r="T5" s="113"/>
    </x:row>
    <x:row r="6" ht="28" customHeight="1">
      <x:c r="A6" s="107" t="str">
        <x:v>C-002</x:v>
      </x:c>
      <x:c r="B6" s="137"/>
      <x:c r="C6" s="113"/>
      <x:c r="D6" s="113"/>
      <x:c r="E6" s="113"/>
      <x:c r="F6" s="113"/>
      <x:c r="G6" s="113"/>
      <x:c r="H6" s="113"/>
      <x:c r="I6" s="113"/>
      <x:c r="J6" s="113"/>
      <x:c r="K6" s="113"/>
      <x:c r="L6" s="113"/>
      <x:c r="M6" s="113"/>
      <x:c r="N6" s="113"/>
      <x:c r="O6" s="113"/>
      <x:c r="P6" s="143"/>
      <x:c r="Q6" s="113"/>
      <x:c r="R6" s="143"/>
      <x:c r="S6" s="143"/>
      <x:c r="T6" s="113"/>
    </x:row>
    <x:row r="7" ht="28" customHeight="1">
      <x:c r="A7" s="107" t="str">
        <x:v>C-003</x:v>
      </x:c>
      <x:c r="B7" s="137"/>
      <x:c r="C7" s="113"/>
      <x:c r="D7" s="113"/>
      <x:c r="E7" s="113"/>
      <x:c r="F7" s="113"/>
      <x:c r="G7" s="113"/>
      <x:c r="H7" s="113"/>
      <x:c r="I7" s="113"/>
      <x:c r="J7" s="113"/>
      <x:c r="K7" s="113"/>
      <x:c r="L7" s="113"/>
      <x:c r="M7" s="113"/>
      <x:c r="N7" s="113"/>
      <x:c r="O7" s="113"/>
      <x:c r="P7" s="143"/>
      <x:c r="Q7" s="113"/>
      <x:c r="R7" s="143"/>
      <x:c r="S7" s="143"/>
      <x:c r="T7" s="113"/>
    </x:row>
    <x:row r="8" ht="28" customHeight="1">
      <x:c r="A8" s="107" t="str">
        <x:v>C-004</x:v>
      </x:c>
      <x:c r="B8" s="137"/>
      <x:c r="C8" s="113"/>
      <x:c r="D8" s="113"/>
      <x:c r="E8" s="113"/>
      <x:c r="F8" s="113"/>
      <x:c r="G8" s="113"/>
      <x:c r="H8" s="113"/>
      <x:c r="I8" s="113"/>
      <x:c r="J8" s="113"/>
      <x:c r="K8" s="113"/>
      <x:c r="L8" s="113"/>
      <x:c r="M8" s="113"/>
      <x:c r="N8" s="113"/>
      <x:c r="O8" s="113"/>
      <x:c r="P8" s="143"/>
      <x:c r="Q8" s="113"/>
      <x:c r="R8" s="143"/>
      <x:c r="S8" s="143"/>
      <x:c r="T8" s="113"/>
    </x:row>
    <x:row r="9" ht="28" customHeight="1">
      <x:c r="A9" s="107" t="str">
        <x:v>C-005</x:v>
      </x:c>
      <x:c r="B9" s="137"/>
      <x:c r="C9" s="113"/>
      <x:c r="D9" s="113"/>
      <x:c r="E9" s="113"/>
      <x:c r="F9" s="113"/>
      <x:c r="G9" s="113"/>
      <x:c r="H9" s="113"/>
      <x:c r="I9" s="113"/>
      <x:c r="J9" s="113"/>
      <x:c r="K9" s="113"/>
      <x:c r="L9" s="113"/>
      <x:c r="M9" s="113"/>
      <x:c r="N9" s="113"/>
      <x:c r="O9" s="113"/>
      <x:c r="P9" s="143"/>
      <x:c r="Q9" s="113"/>
      <x:c r="R9" s="143"/>
      <x:c r="S9" s="143"/>
      <x:c r="T9" s="113"/>
    </x:row>
    <x:row r="10" ht="28" customHeight="1">
      <x:c r="A10" s="107" t="str">
        <x:v>C-006</x:v>
      </x:c>
      <x:c r="B10" s="137"/>
      <x:c r="C10" s="113"/>
      <x:c r="D10" s="113"/>
      <x:c r="E10" s="113"/>
      <x:c r="F10" s="113"/>
      <x:c r="G10" s="113"/>
      <x:c r="H10" s="113"/>
      <x:c r="I10" s="113"/>
      <x:c r="J10" s="113"/>
      <x:c r="K10" s="113"/>
      <x:c r="L10" s="113"/>
      <x:c r="M10" s="113"/>
      <x:c r="N10" s="113"/>
      <x:c r="O10" s="113"/>
      <x:c r="P10" s="143"/>
      <x:c r="Q10" s="113"/>
      <x:c r="R10" s="143"/>
      <x:c r="S10" s="143"/>
      <x:c r="T10" s="113"/>
    </x:row>
    <x:row r="11" ht="28" customHeight="1">
      <x:c r="A11" s="107" t="str">
        <x:v>C-007</x:v>
      </x:c>
      <x:c r="B11" s="137"/>
      <x:c r="C11" s="113"/>
      <x:c r="D11" s="113"/>
      <x:c r="E11" s="113"/>
      <x:c r="F11" s="113"/>
      <x:c r="G11" s="113"/>
      <x:c r="H11" s="113"/>
      <x:c r="I11" s="113"/>
      <x:c r="J11" s="113"/>
      <x:c r="K11" s="113"/>
      <x:c r="L11" s="113"/>
      <x:c r="M11" s="113"/>
      <x:c r="N11" s="113"/>
      <x:c r="O11" s="113"/>
      <x:c r="P11" s="143"/>
      <x:c r="Q11" s="113"/>
      <x:c r="R11" s="143"/>
      <x:c r="S11" s="143"/>
      <x:c r="T11" s="113"/>
    </x:row>
    <x:row r="12" ht="28" customHeight="1">
      <x:c r="A12" s="107" t="str">
        <x:v>C-008</x:v>
      </x:c>
      <x:c r="B12" s="137"/>
      <x:c r="C12" s="113"/>
      <x:c r="D12" s="113"/>
      <x:c r="E12" s="113"/>
      <x:c r="F12" s="113"/>
      <x:c r="G12" s="113"/>
      <x:c r="H12" s="113"/>
      <x:c r="I12" s="113"/>
      <x:c r="J12" s="113"/>
      <x:c r="K12" s="113"/>
      <x:c r="L12" s="113"/>
      <x:c r="M12" s="113"/>
      <x:c r="N12" s="113"/>
      <x:c r="O12" s="113"/>
      <x:c r="P12" s="143"/>
      <x:c r="Q12" s="113"/>
      <x:c r="R12" s="143"/>
      <x:c r="S12" s="143"/>
      <x:c r="T12" s="113"/>
    </x:row>
    <x:row r="13" ht="28" customHeight="1">
      <x:c r="A13" s="107" t="str">
        <x:v>C-009</x:v>
      </x:c>
      <x:c r="B13" s="137"/>
      <x:c r="C13" s="113"/>
      <x:c r="D13" s="113"/>
      <x:c r="E13" s="113"/>
      <x:c r="F13" s="113"/>
      <x:c r="G13" s="113"/>
      <x:c r="H13" s="113"/>
      <x:c r="I13" s="113"/>
      <x:c r="J13" s="113"/>
      <x:c r="K13" s="113"/>
      <x:c r="L13" s="113"/>
      <x:c r="M13" s="113"/>
      <x:c r="N13" s="113"/>
      <x:c r="O13" s="113"/>
      <x:c r="P13" s="143"/>
      <x:c r="Q13" s="113"/>
      <x:c r="R13" s="143"/>
      <x:c r="S13" s="143"/>
      <x:c r="T13" s="113"/>
    </x:row>
    <x:row r="14" ht="28" customHeight="1">
      <x:c r="A14" s="107" t="str">
        <x:v>C-010</x:v>
      </x:c>
      <x:c r="B14" s="137"/>
      <x:c r="C14" s="113"/>
      <x:c r="D14" s="113"/>
      <x:c r="E14" s="113"/>
      <x:c r="F14" s="113"/>
      <x:c r="G14" s="113"/>
      <x:c r="H14" s="113"/>
      <x:c r="I14" s="113"/>
      <x:c r="J14" s="113"/>
      <x:c r="K14" s="113"/>
      <x:c r="L14" s="113"/>
      <x:c r="M14" s="113"/>
      <x:c r="N14" s="113"/>
      <x:c r="O14" s="113"/>
      <x:c r="P14" s="143"/>
      <x:c r="Q14" s="113"/>
      <x:c r="R14" s="143"/>
      <x:c r="S14" s="143"/>
      <x:c r="T14" s="113"/>
    </x:row>
    <x:row r="15" ht="28" customHeight="1">
      <x:c r="A15" s="107" t="str">
        <x:v>C-011</x:v>
      </x:c>
      <x:c r="B15" s="137"/>
      <x:c r="C15" s="113"/>
      <x:c r="D15" s="113"/>
      <x:c r="E15" s="113"/>
      <x:c r="F15" s="113"/>
      <x:c r="G15" s="113"/>
      <x:c r="H15" s="113"/>
      <x:c r="I15" s="113"/>
      <x:c r="J15" s="113"/>
      <x:c r="K15" s="113"/>
      <x:c r="L15" s="113"/>
      <x:c r="M15" s="113"/>
      <x:c r="N15" s="113"/>
      <x:c r="O15" s="113"/>
      <x:c r="P15" s="143"/>
      <x:c r="Q15" s="113"/>
      <x:c r="R15" s="143"/>
      <x:c r="S15" s="143"/>
      <x:c r="T15" s="113"/>
    </x:row>
    <x:row r="16" ht="28" customHeight="1">
      <x:c r="A16" s="107" t="str">
        <x:v>C-012</x:v>
      </x:c>
      <x:c r="B16" s="137"/>
      <x:c r="C16" s="113"/>
      <x:c r="D16" s="113"/>
      <x:c r="E16" s="113"/>
      <x:c r="F16" s="113"/>
      <x:c r="G16" s="113"/>
      <x:c r="H16" s="113"/>
      <x:c r="I16" s="113"/>
      <x:c r="J16" s="113"/>
      <x:c r="K16" s="113"/>
      <x:c r="L16" s="113"/>
      <x:c r="M16" s="113"/>
      <x:c r="N16" s="113"/>
      <x:c r="O16" s="113"/>
      <x:c r="P16" s="143"/>
      <x:c r="Q16" s="113"/>
      <x:c r="R16" s="143"/>
      <x:c r="S16" s="143"/>
      <x:c r="T16" s="113"/>
    </x:row>
    <x:row r="17" ht="28" customHeight="1">
      <x:c r="A17" s="107" t="str">
        <x:v>C-013</x:v>
      </x:c>
      <x:c r="B17" s="137"/>
      <x:c r="C17" s="113"/>
      <x:c r="D17" s="113"/>
      <x:c r="E17" s="113"/>
      <x:c r="F17" s="113"/>
      <x:c r="G17" s="113"/>
      <x:c r="H17" s="113"/>
      <x:c r="I17" s="113"/>
      <x:c r="J17" s="113"/>
      <x:c r="K17" s="113"/>
      <x:c r="L17" s="113"/>
      <x:c r="M17" s="113"/>
      <x:c r="N17" s="113"/>
      <x:c r="O17" s="113"/>
      <x:c r="P17" s="143"/>
      <x:c r="Q17" s="113"/>
      <x:c r="R17" s="143"/>
      <x:c r="S17" s="143"/>
      <x:c r="T17" s="113"/>
    </x:row>
    <x:row r="18" ht="28" customHeight="1">
      <x:c r="A18" s="107" t="str">
        <x:v>C-014</x:v>
      </x:c>
      <x:c r="B18" s="137"/>
      <x:c r="C18" s="113"/>
      <x:c r="D18" s="113"/>
      <x:c r="E18" s="113"/>
      <x:c r="F18" s="113"/>
      <x:c r="G18" s="113"/>
      <x:c r="H18" s="113"/>
      <x:c r="I18" s="113"/>
      <x:c r="J18" s="113"/>
      <x:c r="K18" s="113"/>
      <x:c r="L18" s="113"/>
      <x:c r="M18" s="113"/>
      <x:c r="N18" s="113"/>
      <x:c r="O18" s="113"/>
      <x:c r="P18" s="143"/>
      <x:c r="Q18" s="113"/>
      <x:c r="R18" s="143"/>
      <x:c r="S18" s="143"/>
      <x:c r="T18" s="113"/>
    </x:row>
    <x:row r="19" ht="28" customHeight="1">
      <x:c r="A19" s="107" t="str">
        <x:v>C-015</x:v>
      </x:c>
      <x:c r="B19" s="137"/>
      <x:c r="C19" s="113"/>
      <x:c r="D19" s="113"/>
      <x:c r="E19" s="113"/>
      <x:c r="F19" s="113"/>
      <x:c r="G19" s="113"/>
      <x:c r="H19" s="113"/>
      <x:c r="I19" s="113"/>
      <x:c r="J19" s="113"/>
      <x:c r="K19" s="113"/>
      <x:c r="L19" s="113"/>
      <x:c r="M19" s="113"/>
      <x:c r="N19" s="113"/>
      <x:c r="O19" s="113"/>
      <x:c r="P19" s="143"/>
      <x:c r="Q19" s="113"/>
      <x:c r="R19" s="143"/>
      <x:c r="S19" s="143"/>
      <x:c r="T19" s="113"/>
    </x:row>
    <x:row r="20" ht="28" customHeight="1">
      <x:c r="A20" s="107" t="str">
        <x:v>C-016</x:v>
      </x:c>
      <x:c r="B20" s="137"/>
      <x:c r="C20" s="113"/>
      <x:c r="D20" s="113"/>
      <x:c r="E20" s="113"/>
      <x:c r="F20" s="113"/>
      <x:c r="G20" s="113"/>
      <x:c r="H20" s="113"/>
      <x:c r="I20" s="113"/>
      <x:c r="J20" s="113"/>
      <x:c r="K20" s="113"/>
      <x:c r="L20" s="113"/>
      <x:c r="M20" s="113"/>
      <x:c r="N20" s="113"/>
      <x:c r="O20" s="113"/>
      <x:c r="P20" s="143"/>
      <x:c r="Q20" s="113"/>
      <x:c r="R20" s="143"/>
      <x:c r="S20" s="143"/>
      <x:c r="T20" s="113"/>
    </x:row>
    <x:row r="21" ht="28" customHeight="1">
      <x:c r="A21" s="107" t="str">
        <x:v>C-017</x:v>
      </x:c>
      <x:c r="B21" s="137"/>
      <x:c r="C21" s="113"/>
      <x:c r="D21" s="113"/>
      <x:c r="E21" s="113"/>
      <x:c r="F21" s="113"/>
      <x:c r="G21" s="113"/>
      <x:c r="H21" s="113"/>
      <x:c r="I21" s="113"/>
      <x:c r="J21" s="113"/>
      <x:c r="K21" s="113"/>
      <x:c r="L21" s="113"/>
      <x:c r="M21" s="113"/>
      <x:c r="N21" s="113"/>
      <x:c r="O21" s="113"/>
      <x:c r="P21" s="143"/>
      <x:c r="Q21" s="113"/>
      <x:c r="R21" s="143"/>
      <x:c r="S21" s="143"/>
      <x:c r="T21" s="113"/>
    </x:row>
    <x:row r="22" ht="28" customHeight="1">
      <x:c r="A22" s="107" t="str">
        <x:v>C-018</x:v>
      </x:c>
      <x:c r="B22" s="137"/>
      <x:c r="C22" s="113"/>
      <x:c r="D22" s="113"/>
      <x:c r="E22" s="113"/>
      <x:c r="F22" s="113"/>
      <x:c r="G22" s="113"/>
      <x:c r="H22" s="113"/>
      <x:c r="I22" s="113"/>
      <x:c r="J22" s="113"/>
      <x:c r="K22" s="113"/>
      <x:c r="L22" s="113"/>
      <x:c r="M22" s="113"/>
      <x:c r="N22" s="113"/>
      <x:c r="O22" s="113"/>
      <x:c r="P22" s="143"/>
      <x:c r="Q22" s="113"/>
      <x:c r="R22" s="143"/>
      <x:c r="S22" s="143"/>
      <x:c r="T22" s="113"/>
    </x:row>
    <x:row r="23" ht="28" customHeight="1">
      <x:c r="A23" s="107" t="str">
        <x:v>C-019</x:v>
      </x:c>
      <x:c r="B23" s="137"/>
      <x:c r="C23" s="113"/>
      <x:c r="D23" s="113"/>
      <x:c r="E23" s="113"/>
      <x:c r="F23" s="113"/>
      <x:c r="G23" s="113"/>
      <x:c r="H23" s="113"/>
      <x:c r="I23" s="113"/>
      <x:c r="J23" s="113"/>
      <x:c r="K23" s="113"/>
      <x:c r="L23" s="113"/>
      <x:c r="M23" s="113"/>
      <x:c r="N23" s="113"/>
      <x:c r="O23" s="113"/>
      <x:c r="P23" s="143"/>
      <x:c r="Q23" s="113"/>
      <x:c r="R23" s="143"/>
      <x:c r="S23" s="143"/>
      <x:c r="T23" s="113"/>
    </x:row>
    <x:row r="24" ht="28" customHeight="1">
      <x:c r="A24" s="107" t="str">
        <x:v>C-020</x:v>
      </x:c>
      <x:c r="B24" s="137"/>
      <x:c r="C24" s="113"/>
      <x:c r="D24" s="113"/>
      <x:c r="E24" s="113"/>
      <x:c r="F24" s="113"/>
      <x:c r="G24" s="113"/>
      <x:c r="H24" s="113"/>
      <x:c r="I24" s="113"/>
      <x:c r="J24" s="113"/>
      <x:c r="K24" s="113"/>
      <x:c r="L24" s="113"/>
      <x:c r="M24" s="113"/>
      <x:c r="N24" s="113"/>
      <x:c r="O24" s="113"/>
      <x:c r="P24" s="143"/>
      <x:c r="Q24" s="113"/>
      <x:c r="R24" s="143"/>
      <x:c r="S24" s="143"/>
      <x:c r="T24" s="113"/>
    </x:row>
    <x:row r="25" ht="28" customHeight="1">
      <x:c r="A25" s="107" t="str">
        <x:v>C-021</x:v>
      </x:c>
      <x:c r="B25" s="137"/>
      <x:c r="C25" s="113"/>
      <x:c r="D25" s="113"/>
      <x:c r="E25" s="113"/>
      <x:c r="F25" s="113"/>
      <x:c r="G25" s="113"/>
      <x:c r="H25" s="113"/>
      <x:c r="I25" s="113"/>
      <x:c r="J25" s="113"/>
      <x:c r="K25" s="113"/>
      <x:c r="L25" s="113"/>
      <x:c r="M25" s="113"/>
      <x:c r="N25" s="113"/>
      <x:c r="O25" s="113"/>
      <x:c r="P25" s="143"/>
      <x:c r="Q25" s="113"/>
      <x:c r="R25" s="143"/>
      <x:c r="S25" s="143"/>
      <x:c r="T25" s="113"/>
    </x:row>
    <x:row r="26" ht="28" customHeight="1">
      <x:c r="A26" s="107" t="str">
        <x:v>C-022</x:v>
      </x:c>
      <x:c r="B26" s="137"/>
      <x:c r="C26" s="113"/>
      <x:c r="D26" s="113"/>
      <x:c r="E26" s="113"/>
      <x:c r="F26" s="113"/>
      <x:c r="G26" s="113"/>
      <x:c r="H26" s="113"/>
      <x:c r="I26" s="113"/>
      <x:c r="J26" s="113"/>
      <x:c r="K26" s="113"/>
      <x:c r="L26" s="113"/>
      <x:c r="M26" s="113"/>
      <x:c r="N26" s="113"/>
      <x:c r="O26" s="113"/>
      <x:c r="P26" s="143"/>
      <x:c r="Q26" s="113"/>
      <x:c r="R26" s="143"/>
      <x:c r="S26" s="143"/>
      <x:c r="T26" s="113"/>
    </x:row>
    <x:row r="27" ht="28" customHeight="1">
      <x:c r="A27" s="107" t="str">
        <x:v>C-023</x:v>
      </x:c>
      <x:c r="B27" s="137"/>
      <x:c r="C27" s="113"/>
      <x:c r="D27" s="113"/>
      <x:c r="E27" s="113"/>
      <x:c r="F27" s="113"/>
      <x:c r="G27" s="113"/>
      <x:c r="H27" s="113"/>
      <x:c r="I27" s="113"/>
      <x:c r="J27" s="113"/>
      <x:c r="K27" s="113"/>
      <x:c r="L27" s="113"/>
      <x:c r="M27" s="113"/>
      <x:c r="N27" s="113"/>
      <x:c r="O27" s="113"/>
      <x:c r="P27" s="143"/>
      <x:c r="Q27" s="113"/>
      <x:c r="R27" s="143"/>
      <x:c r="S27" s="143"/>
      <x:c r="T27" s="113"/>
    </x:row>
    <x:row r="28" ht="28" customHeight="1">
      <x:c r="A28" s="107" t="str">
        <x:v>C-024</x:v>
      </x:c>
      <x:c r="B28" s="137"/>
      <x:c r="C28" s="113"/>
      <x:c r="D28" s="113"/>
      <x:c r="E28" s="113"/>
      <x:c r="F28" s="113"/>
      <x:c r="G28" s="113"/>
      <x:c r="H28" s="113"/>
      <x:c r="I28" s="113"/>
      <x:c r="J28" s="113"/>
      <x:c r="K28" s="113"/>
      <x:c r="L28" s="113"/>
      <x:c r="M28" s="113"/>
      <x:c r="N28" s="113"/>
      <x:c r="O28" s="113"/>
      <x:c r="P28" s="143"/>
      <x:c r="Q28" s="113"/>
      <x:c r="R28" s="143"/>
      <x:c r="S28" s="143"/>
      <x:c r="T28" s="113"/>
    </x:row>
    <x:row r="29" ht="28" customHeight="1">
      <x:c r="A29" s="107" t="str">
        <x:v>C-025</x:v>
      </x:c>
      <x:c r="B29" s="137"/>
      <x:c r="C29" s="113"/>
      <x:c r="D29" s="113"/>
      <x:c r="E29" s="113"/>
      <x:c r="F29" s="113"/>
      <x:c r="G29" s="113"/>
      <x:c r="H29" s="113"/>
      <x:c r="I29" s="113"/>
      <x:c r="J29" s="113"/>
      <x:c r="K29" s="113"/>
      <x:c r="L29" s="113"/>
      <x:c r="M29" s="113"/>
      <x:c r="N29" s="113"/>
      <x:c r="O29" s="113"/>
      <x:c r="P29" s="143"/>
      <x:c r="Q29" s="113"/>
      <x:c r="R29" s="143"/>
      <x:c r="S29" s="143"/>
      <x:c r="T29" s="113"/>
    </x:row>
    <x:row r="30" ht="28" customHeight="1">
      <x:c r="A30" s="107" t="str">
        <x:v>C-026</x:v>
      </x:c>
      <x:c r="B30" s="137"/>
      <x:c r="C30" s="113"/>
      <x:c r="D30" s="113"/>
      <x:c r="E30" s="113"/>
      <x:c r="F30" s="113"/>
      <x:c r="G30" s="113"/>
      <x:c r="H30" s="113"/>
      <x:c r="I30" s="113"/>
      <x:c r="J30" s="113"/>
      <x:c r="K30" s="113"/>
      <x:c r="L30" s="113"/>
      <x:c r="M30" s="113"/>
      <x:c r="N30" s="113"/>
      <x:c r="O30" s="113"/>
      <x:c r="P30" s="143"/>
      <x:c r="Q30" s="113"/>
      <x:c r="R30" s="143"/>
      <x:c r="S30" s="143"/>
      <x:c r="T30" s="113"/>
    </x:row>
    <x:row r="31" ht="28" customHeight="1">
      <x:c r="A31" s="107" t="str">
        <x:v>C-027</x:v>
      </x:c>
      <x:c r="B31" s="137"/>
      <x:c r="C31" s="113"/>
      <x:c r="D31" s="113"/>
      <x:c r="E31" s="113"/>
      <x:c r="F31" s="113"/>
      <x:c r="G31" s="113"/>
      <x:c r="H31" s="113"/>
      <x:c r="I31" s="113"/>
      <x:c r="J31" s="113"/>
      <x:c r="K31" s="113"/>
      <x:c r="L31" s="113"/>
      <x:c r="M31" s="113"/>
      <x:c r="N31" s="113"/>
      <x:c r="O31" s="113"/>
      <x:c r="P31" s="143"/>
      <x:c r="Q31" s="113"/>
      <x:c r="R31" s="143"/>
      <x:c r="S31" s="143"/>
      <x:c r="T31" s="113"/>
    </x:row>
    <x:row r="32" ht="28" customHeight="1">
      <x:c r="A32" s="107" t="str">
        <x:v>C-028</x:v>
      </x:c>
      <x:c r="B32" s="137"/>
      <x:c r="C32" s="113"/>
      <x:c r="D32" s="113"/>
      <x:c r="E32" s="113"/>
      <x:c r="F32" s="113"/>
      <x:c r="G32" s="113"/>
      <x:c r="H32" s="113"/>
      <x:c r="I32" s="113"/>
      <x:c r="J32" s="113"/>
      <x:c r="K32" s="113"/>
      <x:c r="L32" s="113"/>
      <x:c r="M32" s="113"/>
      <x:c r="N32" s="113"/>
      <x:c r="O32" s="113"/>
      <x:c r="P32" s="143"/>
      <x:c r="Q32" s="113"/>
      <x:c r="R32" s="143"/>
      <x:c r="S32" s="143"/>
      <x:c r="T32" s="113"/>
    </x:row>
    <x:row r="33" ht="28" customHeight="1">
      <x:c r="A33" s="107" t="str">
        <x:v>C-029</x:v>
      </x:c>
      <x:c r="B33" s="137"/>
      <x:c r="C33" s="113"/>
      <x:c r="D33" s="113"/>
      <x:c r="E33" s="113"/>
      <x:c r="F33" s="113"/>
      <x:c r="G33" s="113"/>
      <x:c r="H33" s="113"/>
      <x:c r="I33" s="113"/>
      <x:c r="J33" s="113"/>
      <x:c r="K33" s="113"/>
      <x:c r="L33" s="113"/>
      <x:c r="M33" s="113"/>
      <x:c r="N33" s="113"/>
      <x:c r="O33" s="113"/>
      <x:c r="P33" s="143"/>
      <x:c r="Q33" s="113"/>
      <x:c r="R33" s="143"/>
      <x:c r="S33" s="143"/>
      <x:c r="T33" s="113"/>
    </x:row>
    <x:row r="34" ht="28" customHeight="1">
      <x:c r="A34" s="107" t="str">
        <x:v>C-030</x:v>
      </x:c>
      <x:c r="B34" s="137"/>
      <x:c r="C34" s="113"/>
      <x:c r="D34" s="113"/>
      <x:c r="E34" s="113"/>
      <x:c r="F34" s="113"/>
      <x:c r="G34" s="113"/>
      <x:c r="H34" s="113"/>
      <x:c r="I34" s="113"/>
      <x:c r="J34" s="113"/>
      <x:c r="K34" s="113"/>
      <x:c r="L34" s="113"/>
      <x:c r="M34" s="113"/>
      <x:c r="N34" s="113"/>
      <x:c r="O34" s="113"/>
      <x:c r="P34" s="143"/>
      <x:c r="Q34" s="113"/>
      <x:c r="R34" s="143"/>
      <x:c r="S34" s="143"/>
      <x:c r="T34" s="113"/>
    </x:row>
    <x:row r="35" ht="28" customHeight="1">
      <x:c r="A35" s="107" t="str">
        <x:v>C-031</x:v>
      </x:c>
      <x:c r="B35" s="137"/>
      <x:c r="C35" s="113"/>
      <x:c r="D35" s="113"/>
      <x:c r="E35" s="113"/>
      <x:c r="F35" s="113"/>
      <x:c r="G35" s="113"/>
      <x:c r="H35" s="113"/>
      <x:c r="I35" s="113"/>
      <x:c r="J35" s="113"/>
      <x:c r="K35" s="113"/>
      <x:c r="L35" s="113"/>
      <x:c r="M35" s="113"/>
      <x:c r="N35" s="113"/>
      <x:c r="O35" s="113"/>
      <x:c r="P35" s="143"/>
      <x:c r="Q35" s="113"/>
      <x:c r="R35" s="143"/>
      <x:c r="S35" s="143"/>
      <x:c r="T35" s="113"/>
    </x:row>
    <x:row r="36" ht="28" customHeight="1">
      <x:c r="A36" s="107" t="str">
        <x:v>C-032</x:v>
      </x:c>
      <x:c r="B36" s="137"/>
      <x:c r="C36" s="113"/>
      <x:c r="D36" s="113"/>
      <x:c r="E36" s="113"/>
      <x:c r="F36" s="113"/>
      <x:c r="G36" s="113"/>
      <x:c r="H36" s="113"/>
      <x:c r="I36" s="113"/>
      <x:c r="J36" s="113"/>
      <x:c r="K36" s="113"/>
      <x:c r="L36" s="113"/>
      <x:c r="M36" s="113"/>
      <x:c r="N36" s="113"/>
      <x:c r="O36" s="113"/>
      <x:c r="P36" s="143"/>
      <x:c r="Q36" s="113"/>
      <x:c r="R36" s="143"/>
      <x:c r="S36" s="143"/>
      <x:c r="T36" s="113"/>
    </x:row>
    <x:row r="37" ht="28" customHeight="1">
      <x:c r="A37" s="107" t="str">
        <x:v>C-033</x:v>
      </x:c>
      <x:c r="B37" s="137"/>
      <x:c r="C37" s="113"/>
      <x:c r="D37" s="113"/>
      <x:c r="E37" s="113"/>
      <x:c r="F37" s="113"/>
      <x:c r="G37" s="113"/>
      <x:c r="H37" s="113"/>
      <x:c r="I37" s="113"/>
      <x:c r="J37" s="113"/>
      <x:c r="K37" s="113"/>
      <x:c r="L37" s="113"/>
      <x:c r="M37" s="113"/>
      <x:c r="N37" s="113"/>
      <x:c r="O37" s="113"/>
      <x:c r="P37" s="143"/>
      <x:c r="Q37" s="113"/>
      <x:c r="R37" s="143"/>
      <x:c r="S37" s="143"/>
      <x:c r="T37" s="113"/>
    </x:row>
    <x:row r="38" ht="28" customHeight="1">
      <x:c r="A38" s="107" t="str">
        <x:v>C-034</x:v>
      </x:c>
      <x:c r="B38" s="137"/>
      <x:c r="C38" s="113"/>
      <x:c r="D38" s="113"/>
      <x:c r="E38" s="113"/>
      <x:c r="F38" s="113"/>
      <x:c r="G38" s="113"/>
      <x:c r="H38" s="113"/>
      <x:c r="I38" s="113"/>
      <x:c r="J38" s="113"/>
      <x:c r="K38" s="113"/>
      <x:c r="L38" s="113"/>
      <x:c r="M38" s="113"/>
      <x:c r="N38" s="113"/>
      <x:c r="O38" s="113"/>
      <x:c r="P38" s="143"/>
      <x:c r="Q38" s="113"/>
      <x:c r="R38" s="143"/>
      <x:c r="S38" s="143"/>
      <x:c r="T38" s="113"/>
    </x:row>
    <x:row r="39" ht="28" customHeight="1">
      <x:c r="A39" s="107" t="str">
        <x:v>C-035</x:v>
      </x:c>
      <x:c r="B39" s="137"/>
      <x:c r="C39" s="113"/>
      <x:c r="D39" s="113"/>
      <x:c r="E39" s="113"/>
      <x:c r="F39" s="113"/>
      <x:c r="G39" s="113"/>
      <x:c r="H39" s="113"/>
      <x:c r="I39" s="113"/>
      <x:c r="J39" s="113"/>
      <x:c r="K39" s="113"/>
      <x:c r="L39" s="113"/>
      <x:c r="M39" s="113"/>
      <x:c r="N39" s="113"/>
      <x:c r="O39" s="113"/>
      <x:c r="P39" s="143"/>
      <x:c r="Q39" s="113"/>
      <x:c r="R39" s="143"/>
      <x:c r="S39" s="143"/>
      <x:c r="T39" s="113"/>
    </x:row>
    <x:row r="40" ht="28" customHeight="1">
      <x:c r="A40" s="107" t="str">
        <x:v>C-036</x:v>
      </x:c>
      <x:c r="B40" s="137"/>
      <x:c r="C40" s="113"/>
      <x:c r="D40" s="113"/>
      <x:c r="E40" s="113"/>
      <x:c r="F40" s="113"/>
      <x:c r="G40" s="113"/>
      <x:c r="H40" s="113"/>
      <x:c r="I40" s="113"/>
      <x:c r="J40" s="113"/>
      <x:c r="K40" s="113"/>
      <x:c r="L40" s="113"/>
      <x:c r="M40" s="113"/>
      <x:c r="N40" s="113"/>
      <x:c r="O40" s="113"/>
      <x:c r="P40" s="143"/>
      <x:c r="Q40" s="113"/>
      <x:c r="R40" s="143"/>
      <x:c r="S40" s="143"/>
      <x:c r="T40" s="113"/>
    </x:row>
    <x:row r="41" ht="28" customHeight="1">
      <x:c r="A41" s="107" t="str">
        <x:v>C-037</x:v>
      </x:c>
      <x:c r="B41" s="137"/>
      <x:c r="C41" s="113"/>
      <x:c r="D41" s="113"/>
      <x:c r="E41" s="113"/>
      <x:c r="F41" s="113"/>
      <x:c r="G41" s="113"/>
      <x:c r="H41" s="113"/>
      <x:c r="I41" s="113"/>
      <x:c r="J41" s="113"/>
      <x:c r="K41" s="113"/>
      <x:c r="L41" s="113"/>
      <x:c r="M41" s="113"/>
      <x:c r="N41" s="113"/>
      <x:c r="O41" s="113"/>
      <x:c r="P41" s="143"/>
      <x:c r="Q41" s="113"/>
      <x:c r="R41" s="143"/>
      <x:c r="S41" s="143"/>
      <x:c r="T41" s="113"/>
    </x:row>
    <x:row r="42" ht="28" customHeight="1">
      <x:c r="A42" s="107" t="str">
        <x:v>C-038</x:v>
      </x:c>
      <x:c r="B42" s="137"/>
      <x:c r="C42" s="113"/>
      <x:c r="D42" s="113"/>
      <x:c r="E42" s="113"/>
      <x:c r="F42" s="113"/>
      <x:c r="G42" s="113"/>
      <x:c r="H42" s="113"/>
      <x:c r="I42" s="113"/>
      <x:c r="J42" s="113"/>
      <x:c r="K42" s="113"/>
      <x:c r="L42" s="113"/>
      <x:c r="M42" s="113"/>
      <x:c r="N42" s="113"/>
      <x:c r="O42" s="113"/>
      <x:c r="P42" s="143"/>
      <x:c r="Q42" s="113"/>
      <x:c r="R42" s="143"/>
      <x:c r="S42" s="143"/>
      <x:c r="T42" s="113"/>
    </x:row>
    <x:row r="43" ht="28" customHeight="1">
      <x:c r="A43" s="107" t="str">
        <x:v>C-039</x:v>
      </x:c>
      <x:c r="B43" s="137"/>
      <x:c r="C43" s="113"/>
      <x:c r="D43" s="113"/>
      <x:c r="E43" s="113"/>
      <x:c r="F43" s="113"/>
      <x:c r="G43" s="113"/>
      <x:c r="H43" s="113"/>
      <x:c r="I43" s="113"/>
      <x:c r="J43" s="113"/>
      <x:c r="K43" s="113"/>
      <x:c r="L43" s="113"/>
      <x:c r="M43" s="113"/>
      <x:c r="N43" s="113"/>
      <x:c r="O43" s="113"/>
      <x:c r="P43" s="143"/>
      <x:c r="Q43" s="113"/>
      <x:c r="R43" s="143"/>
      <x:c r="S43" s="143"/>
      <x:c r="T43" s="113"/>
    </x:row>
    <x:row r="44" ht="28" customHeight="1">
      <x:c r="A44" s="107" t="str">
        <x:v>C-040</x:v>
      </x:c>
      <x:c r="B44" s="137"/>
      <x:c r="C44" s="113"/>
      <x:c r="D44" s="113"/>
      <x:c r="E44" s="113"/>
      <x:c r="F44" s="113"/>
      <x:c r="G44" s="113"/>
      <x:c r="H44" s="113"/>
      <x:c r="I44" s="113"/>
      <x:c r="J44" s="113"/>
      <x:c r="K44" s="113"/>
      <x:c r="L44" s="113"/>
      <x:c r="M44" s="113"/>
      <x:c r="N44" s="113"/>
      <x:c r="O44" s="113"/>
      <x:c r="P44" s="143"/>
      <x:c r="Q44" s="113"/>
      <x:c r="R44" s="143"/>
      <x:c r="S44" s="143"/>
      <x:c r="T44" s="113"/>
    </x:row>
    <x:row r="45" ht="28" customHeight="1">
      <x:c r="A45" s="107" t="str">
        <x:v>C-041</x:v>
      </x:c>
      <x:c r="B45" s="137"/>
      <x:c r="C45" s="113"/>
      <x:c r="D45" s="113"/>
      <x:c r="E45" s="113"/>
      <x:c r="F45" s="113"/>
      <x:c r="G45" s="113"/>
      <x:c r="H45" s="113"/>
      <x:c r="I45" s="113"/>
      <x:c r="J45" s="113"/>
      <x:c r="K45" s="113"/>
      <x:c r="L45" s="113"/>
      <x:c r="M45" s="113"/>
      <x:c r="N45" s="113"/>
      <x:c r="O45" s="113"/>
      <x:c r="P45" s="143"/>
      <x:c r="Q45" s="113"/>
      <x:c r="R45" s="143"/>
      <x:c r="S45" s="143"/>
      <x:c r="T45" s="113"/>
    </x:row>
    <x:row r="46" ht="28" customHeight="1">
      <x:c r="A46" s="107" t="str">
        <x:v>C-042</x:v>
      </x:c>
      <x:c r="B46" s="137"/>
      <x:c r="C46" s="113"/>
      <x:c r="D46" s="113"/>
      <x:c r="E46" s="113"/>
      <x:c r="F46" s="113"/>
      <x:c r="G46" s="113"/>
      <x:c r="H46" s="113"/>
      <x:c r="I46" s="113"/>
      <x:c r="J46" s="113"/>
      <x:c r="K46" s="113"/>
      <x:c r="L46" s="113"/>
      <x:c r="M46" s="113"/>
      <x:c r="N46" s="113"/>
      <x:c r="O46" s="113"/>
      <x:c r="P46" s="143"/>
      <x:c r="Q46" s="113"/>
      <x:c r="R46" s="143"/>
      <x:c r="S46" s="143"/>
      <x:c r="T46" s="113"/>
    </x:row>
    <x:row r="47" ht="28" customHeight="1">
      <x:c r="A47" s="107" t="str">
        <x:v>C-043</x:v>
      </x:c>
      <x:c r="B47" s="137"/>
      <x:c r="C47" s="113"/>
      <x:c r="D47" s="113"/>
      <x:c r="E47" s="113"/>
      <x:c r="F47" s="113"/>
      <x:c r="G47" s="113"/>
      <x:c r="H47" s="113"/>
      <x:c r="I47" s="113"/>
      <x:c r="J47" s="113"/>
      <x:c r="K47" s="113"/>
      <x:c r="L47" s="113"/>
      <x:c r="M47" s="113"/>
      <x:c r="N47" s="113"/>
      <x:c r="O47" s="113"/>
      <x:c r="P47" s="143"/>
      <x:c r="Q47" s="113"/>
      <x:c r="R47" s="143"/>
      <x:c r="S47" s="143"/>
      <x:c r="T47" s="113"/>
    </x:row>
    <x:row r="48" ht="28" customHeight="1">
      <x:c r="A48" s="107" t="str">
        <x:v>C-044</x:v>
      </x:c>
      <x:c r="B48" s="137"/>
      <x:c r="C48" s="113"/>
      <x:c r="D48" s="113"/>
      <x:c r="E48" s="113"/>
      <x:c r="F48" s="113"/>
      <x:c r="G48" s="113"/>
      <x:c r="H48" s="113"/>
      <x:c r="I48" s="113"/>
      <x:c r="J48" s="113"/>
      <x:c r="K48" s="113"/>
      <x:c r="L48" s="113"/>
      <x:c r="M48" s="113"/>
      <x:c r="N48" s="113"/>
      <x:c r="O48" s="113"/>
      <x:c r="P48" s="143"/>
      <x:c r="Q48" s="113"/>
      <x:c r="R48" s="143"/>
      <x:c r="S48" s="143"/>
      <x:c r="T48" s="113"/>
    </x:row>
    <x:row r="49" ht="28" customHeight="1">
      <x:c r="A49" s="107" t="str">
        <x:v>C-045</x:v>
      </x:c>
      <x:c r="B49" s="137"/>
      <x:c r="C49" s="113"/>
      <x:c r="D49" s="113"/>
      <x:c r="E49" s="113"/>
      <x:c r="F49" s="113"/>
      <x:c r="G49" s="113"/>
      <x:c r="H49" s="113"/>
      <x:c r="I49" s="113"/>
      <x:c r="J49" s="113"/>
      <x:c r="K49" s="113"/>
      <x:c r="L49" s="113"/>
      <x:c r="M49" s="113"/>
      <x:c r="N49" s="113"/>
      <x:c r="O49" s="113"/>
      <x:c r="P49" s="143"/>
      <x:c r="Q49" s="113"/>
      <x:c r="R49" s="143"/>
      <x:c r="S49" s="143"/>
      <x:c r="T49" s="113"/>
    </x:row>
    <x:row r="50" ht="28" customHeight="1">
      <x:c r="A50" s="107" t="str">
        <x:v>C-046</x:v>
      </x:c>
      <x:c r="B50" s="137"/>
      <x:c r="C50" s="113"/>
      <x:c r="D50" s="113"/>
      <x:c r="E50" s="113"/>
      <x:c r="F50" s="113"/>
      <x:c r="G50" s="113"/>
      <x:c r="H50" s="113"/>
      <x:c r="I50" s="113"/>
      <x:c r="J50" s="113"/>
      <x:c r="K50" s="113"/>
      <x:c r="L50" s="113"/>
      <x:c r="M50" s="113"/>
      <x:c r="N50" s="113"/>
      <x:c r="O50" s="113"/>
      <x:c r="P50" s="143"/>
      <x:c r="Q50" s="113"/>
      <x:c r="R50" s="143"/>
      <x:c r="S50" s="143"/>
      <x:c r="T50" s="113"/>
    </x:row>
    <x:row r="51" ht="28" customHeight="1">
      <x:c r="A51" s="107" t="str">
        <x:v>C-047</x:v>
      </x:c>
      <x:c r="B51" s="137"/>
      <x:c r="C51" s="113"/>
      <x:c r="D51" s="113"/>
      <x:c r="E51" s="113"/>
      <x:c r="F51" s="113"/>
      <x:c r="G51" s="113"/>
      <x:c r="H51" s="113"/>
      <x:c r="I51" s="113"/>
      <x:c r="J51" s="113"/>
      <x:c r="K51" s="113"/>
      <x:c r="L51" s="113"/>
      <x:c r="M51" s="113"/>
      <x:c r="N51" s="113"/>
      <x:c r="O51" s="113"/>
      <x:c r="P51" s="143"/>
      <x:c r="Q51" s="113"/>
      <x:c r="R51" s="143"/>
      <x:c r="S51" s="143"/>
      <x:c r="T51" s="113"/>
    </x:row>
    <x:row r="52" ht="28" customHeight="1">
      <x:c r="A52" s="107" t="str">
        <x:v>C-048</x:v>
      </x:c>
      <x:c r="B52" s="137"/>
      <x:c r="C52" s="113"/>
      <x:c r="D52" s="113"/>
      <x:c r="E52" s="113"/>
      <x:c r="F52" s="113"/>
      <x:c r="G52" s="113"/>
      <x:c r="H52" s="113"/>
      <x:c r="I52" s="113"/>
      <x:c r="J52" s="113"/>
      <x:c r="K52" s="113"/>
      <x:c r="L52" s="113"/>
      <x:c r="M52" s="113"/>
      <x:c r="N52" s="113"/>
      <x:c r="O52" s="113"/>
      <x:c r="P52" s="143"/>
      <x:c r="Q52" s="113"/>
      <x:c r="R52" s="143"/>
      <x:c r="S52" s="143"/>
      <x:c r="T52" s="113"/>
    </x:row>
    <x:row r="53" ht="28" customHeight="1">
      <x:c r="A53" s="107" t="str">
        <x:v>C-049</x:v>
      </x:c>
      <x:c r="B53" s="137"/>
      <x:c r="C53" s="113"/>
      <x:c r="D53" s="113"/>
      <x:c r="E53" s="113"/>
      <x:c r="F53" s="113"/>
      <x:c r="G53" s="113"/>
      <x:c r="H53" s="113"/>
      <x:c r="I53" s="113"/>
      <x:c r="J53" s="113"/>
      <x:c r="K53" s="113"/>
      <x:c r="L53" s="113"/>
      <x:c r="M53" s="113"/>
      <x:c r="N53" s="113"/>
      <x:c r="O53" s="113"/>
      <x:c r="P53" s="143"/>
      <x:c r="Q53" s="113"/>
      <x:c r="R53" s="143"/>
      <x:c r="S53" s="143"/>
      <x:c r="T53" s="113"/>
    </x:row>
    <x:row r="54" ht="28" customHeight="1">
      <x:c r="A54" s="107" t="str">
        <x:v>C-050</x:v>
      </x:c>
      <x:c r="B54" s="137"/>
      <x:c r="C54" s="113"/>
      <x:c r="D54" s="113"/>
      <x:c r="E54" s="113"/>
      <x:c r="F54" s="113"/>
      <x:c r="G54" s="113"/>
      <x:c r="H54" s="113"/>
      <x:c r="I54" s="113"/>
      <x:c r="J54" s="113"/>
      <x:c r="K54" s="113"/>
      <x:c r="L54" s="113"/>
      <x:c r="M54" s="113"/>
      <x:c r="N54" s="113"/>
      <x:c r="O54" s="113"/>
      <x:c r="P54" s="143"/>
      <x:c r="Q54" s="113"/>
      <x:c r="R54" s="143"/>
      <x:c r="S54" s="143"/>
      <x:c r="T54" s="113"/>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4" hidden="0" customWidth="1"/>
    <x:col min="2" max="2" width="18" hidden="0" customWidth="1"/>
    <x:col min="3" max="3" width="16" hidden="0" customWidth="1"/>
    <x:col min="4" max="4" width="14" hidden="0" customWidth="1"/>
    <x:col min="5" max="5" width="14" hidden="0" customWidth="1"/>
    <x:col min="6" max="6" width="18" hidden="0" customWidth="1"/>
    <x:col min="7" max="7" width="18" hidden="0" customWidth="1"/>
    <x:col min="8" max="8" width="3" hidden="0" customWidth="1"/>
    <x:col min="9" max="9" width="24" hidden="0" customWidth="1"/>
    <x:col min="10" max="10" width="18" hidden="0" customWidth="1"/>
    <x:col min="11" max="11" width="16" hidden="0" customWidth="1"/>
    <x:col min="12" max="12" width="14" hidden="0" customWidth="1"/>
    <x:col min="13" max="13" width="14" hidden="0" customWidth="1"/>
    <x:col min="14" max="14" width="14" hidden="0" customWidth="1"/>
    <x:col min="15" max="15" width="18" hidden="0" customWidth="1"/>
  </x:cols>
  <x:sheetData>
    <x:row r="1" ht="28" customHeight="1">
      <x:c r="A1" s="4" t="str">
        <x:v>EdgeFinder Pilot Dashboard</x:v>
      </x:c>
      <x:c r="B1" s="4"/>
      <x:c r="C1" s="4"/>
      <x:c r="D1" s="4"/>
      <x:c r="E1" s="4"/>
      <x:c r="F1" s="4"/>
      <x:c r="G1" s="4"/>
      <x:c r="H1" s="4"/>
      <x:c r="I1" s="4"/>
      <x:c r="J1" s="4"/>
      <x:c r="K1" s="4"/>
      <x:c r="L1" s="4"/>
      <x:c r="M1" s="4"/>
      <x:c r="N1" s="4"/>
      <x:c r="O1" s="4"/>
    </x:row>
    <x:row r="2">
      <x:c r="A2" s="10" t="str">
        <x:v>Fresh-slate statistics only. Legacy positions are not included. Source and setup metrics use closed trades only.</x:v>
      </x:c>
      <x:c r="B2" s="10"/>
      <x:c r="C2" s="10"/>
      <x:c r="D2" s="10"/>
      <x:c r="E2" s="10"/>
      <x:c r="F2" s="10"/>
      <x:c r="G2" s="10"/>
      <x:c r="H2" s="10"/>
      <x:c r="I2" s="10"/>
      <x:c r="J2" s="10"/>
      <x:c r="K2" s="10"/>
      <x:c r="L2" s="10"/>
      <x:c r="M2" s="10"/>
      <x:c r="N2" s="10"/>
      <x:c r="O2" s="10"/>
    </x:row>
    <x:row r="4" ht="22" customHeight="1">
      <x:c r="A4" s="16" t="str">
        <x:v>Pilot progress</x:v>
      </x:c>
      <x:c r="B4" s="16"/>
      <x:c r="C4" s="16"/>
      <x:c r="D4" s="16"/>
      <x:c r="F4" s="158" t="str">
        <x:v>Execution quality</x:v>
      </x:c>
      <x:c r="G4" s="158"/>
      <x:c r="H4" s="158"/>
      <x:c r="I4" s="158"/>
      <x:c r="K4" s="164" t="str">
        <x:v>Candidate capture</x:v>
      </x:c>
      <x:c r="L4" s="164"/>
      <x:c r="M4" s="164"/>
      <x:c r="N4" s="164"/>
      <x:c r="O4" s="164"/>
    </x:row>
    <x:row r="5" ht="42" customHeight="1">
      <x:c r="A5" s="32" t="str">
        <x:v>Metric</x:v>
      </x:c>
      <x:c r="B5" s="32" t="str">
        <x:v>Value</x:v>
      </x:c>
      <x:c r="F5" s="49" t="str">
        <x:v>Metric</x:v>
      </x:c>
      <x:c r="G5" s="49" t="str">
        <x:v>Value</x:v>
      </x:c>
      <x:c r="K5" s="99" t="str">
        <x:v>Metric</x:v>
      </x:c>
      <x:c r="L5" s="99" t="str">
        <x:v>Value</x:v>
      </x:c>
    </x:row>
    <x:row r="6">
      <x:c r="A6" t="str">
        <x:v>New trades entered</x:v>
      </x:c>
      <x:c r="B6" s="127" t="n">
        <x:f>COUNTIF('Trade Journal'!D5:D29,"&lt;&gt;")</x:f>
        <x:v>0</x:v>
      </x:c>
      <x:c r="F6" t="str">
        <x:v>Average R</x:v>
      </x:c>
      <x:c r="G6" s="147" t="n">
        <x:f>IFERROR(AVERAGE('Trade Journal'!AB5:AB29),0)</x:f>
        <x:v>0</x:v>
      </x:c>
      <x:c r="K6" t="str">
        <x:v>Candidates logged</x:v>
      </x:c>
      <x:c r="L6" s="127" t="n">
        <x:f>COUNTIF('Candidate Log'!C5:C54,"&lt;&gt;")</x:f>
        <x:v>0</x:v>
      </x:c>
    </x:row>
    <x:row r="7">
      <x:c r="A7" t="str">
        <x:v>Closed trades</x:v>
      </x:c>
      <x:c r="B7" s="127" t="n">
        <x:f>COUNTIF('Trade Journal'!C5:C29,"Closed")</x:f>
        <x:v>0</x:v>
      </x:c>
      <x:c r="F7" t="str">
        <x:v>Average holding days</x:v>
      </x:c>
      <x:c r="G7" s="161" t="n">
        <x:f>IFERROR(AVERAGE('Trade Journal'!AC5:AC29),0)</x:f>
        <x:v>0</x:v>
      </x:c>
      <x:c r="K7" t="str">
        <x:v>Taken</x:v>
      </x:c>
      <x:c r="L7" s="127" t="n">
        <x:f>COUNTIF('Candidate Log'!N5:N54,"Taken - Within Range")</x:f>
        <x:v>0</x:v>
      </x:c>
    </x:row>
    <x:row r="8">
      <x:c r="A8" t="str">
        <x:v>Open / reduced trades</x:v>
      </x:c>
      <x:c r="B8" s="127" t="n">
        <x:f>COUNTIF('Trade Journal'!C5:C29,"Open")+COUNTIF('Trade Journal'!C5:C29,"Reduced")</x:f>
        <x:v>0</x:v>
      </x:c>
      <x:c r="F8" t="str">
        <x:v>Full adherence rate</x:v>
      </x:c>
      <x:c r="G8" s="155" t="n">
        <x:f>IFERROR(COUNTIFS('Trade Journal'!C5:C29,"Closed",'Trade Journal'!AE5:AE29,"Full")/COUNTIF('Trade Journal'!C5:C29,"Closed"),0)</x:f>
        <x:v>0</x:v>
      </x:c>
      <x:c r="K8" t="str">
        <x:v>Watchlist</x:v>
      </x:c>
      <x:c r="L8" s="127" t="n">
        <x:f>COUNTIF('Candidate Log'!N5:N54,"Watchlist")</x:f>
        <x:v>0</x:v>
      </x:c>
    </x:row>
    <x:row r="9">
      <x:c r="A9" t="str">
        <x:v>Pilot status</x:v>
      </x:c>
      <x:c r="B9" s="127" t="str">
        <x:f>IF(B6&gt;=5,"Ready for usability review","Need "&amp;(5-B6)&amp;" more new trade(s)")</x:f>
        <x:v>Need 5 more new trade(s)</x:v>
      </x:c>
      <x:c r="F9" t="str">
        <x:v>Minor deviations</x:v>
      </x:c>
      <x:c r="G9" s="127" t="n">
        <x:f>COUNTIF('Trade Journal'!AE5:AE29,"Minor Deviation")</x:f>
        <x:v>0</x:v>
      </x:c>
      <x:c r="K9" t="str">
        <x:v>Missed - late/out of range</x:v>
      </x:c>
      <x:c r="L9" s="127" t="n">
        <x:f>COUNTIF('Candidate Log'!N5:N54,"Missed - Late / Out of Range")</x:f>
        <x:v>0</x:v>
      </x:c>
    </x:row>
    <x:row r="10">
      <x:c r="A10" t="str">
        <x:v>Total net P/L</x:v>
      </x:c>
      <x:c r="B10" s="153" t="n">
        <x:f>SUM('Trade Journal'!AA5:AA29)</x:f>
        <x:v>0</x:v>
      </x:c>
      <x:c r="F10" t="str">
        <x:v>Major deviations</x:v>
      </x:c>
      <x:c r="G10" s="127" t="n">
        <x:f>COUNTIF('Trade Journal'!AE5:AE29,"Major Deviation")</x:f>
        <x:v>0</x:v>
      </x:c>
      <x:c r="K10" t="str">
        <x:v>Rejected / skipped</x:v>
      </x:c>
      <x:c r="L10" s="127" t="n">
        <x:f>COUNTIF('Candidate Log'!N5:N54,"Rejected - Technical")+COUNTIF('Candidate Log'!N5:N54,"Rejected - Analyst Ratings")+COUNTIF('Candidate Log'!N5:N54,"Rejected - Risk/Reward")+COUNTIF('Candidate Log'!N5:N54,"Skipped - Risk Capacity")+COUNTIF('Candidate Log'!N5:N54,"Skipped - Operational")+COUNTIF('Candidate Log'!N5:N54,"Discretionary Skip")</x:f>
        <x:v>0</x:v>
      </x:c>
    </x:row>
    <x:row r="11">
      <x:c r="A11" t="str">
        <x:v>Total R</x:v>
      </x:c>
      <x:c r="B11" s="147" t="n">
        <x:f>SUM('Trade Journal'!AB5:AB29)</x:f>
        <x:v>0</x:v>
      </x:c>
      <x:c r="F11" t="str">
        <x:v>Average entry logging minutes</x:v>
      </x:c>
      <x:c r="G11" s="161" t="n">
        <x:f>IFERROR(AVERAGE('Pilot Feedback'!B6:B10),0)</x:f>
        <x:v>0</x:v>
      </x:c>
    </x:row>
    <x:row r="12">
      <x:c r="A12" t="str">
        <x:v>Win rate</x:v>
      </x:c>
      <x:c r="B12" s="155" t="n">
        <x:f>IFERROR(COUNTIF('Trade Journal'!AA5:AA29,"&gt;0")/COUNT('Trade Journal'!AA5:AA29),0)</x:f>
        <x:v>0</x:v>
      </x:c>
    </x:row>
    <x:row r="14" ht="22" customHeight="1">
      <x:c r="A14" s="16" t="str">
        <x:v>Closed-trade performance by source</x:v>
      </x:c>
      <x:c r="B14" s="16"/>
      <x:c r="C14" s="16"/>
      <x:c r="D14" s="16"/>
      <x:c r="E14" s="16"/>
      <x:c r="F14" s="16"/>
      <x:c r="G14" s="16"/>
      <x:c r="I14" s="158" t="str">
        <x:v>Closed-trade performance by setup</x:v>
      </x:c>
      <x:c r="J14" s="158"/>
      <x:c r="K14" s="158"/>
      <x:c r="L14" s="158"/>
      <x:c r="M14" s="158"/>
      <x:c r="N14" s="158"/>
      <x:c r="O14" s="158"/>
    </x:row>
    <x:row r="15" ht="42" customHeight="1">
      <x:c r="A15" s="32" t="str">
        <x:v>Source</x:v>
      </x:c>
      <x:c r="B15" s="32" t="str">
        <x:v>Closed Trades</x:v>
      </x:c>
      <x:c r="C15" s="32" t="str">
        <x:v>Net P/L</x:v>
      </x:c>
      <x:c r="D15" s="32" t="str">
        <x:v>Total R</x:v>
      </x:c>
      <x:c r="E15" s="32" t="str">
        <x:v>Average R</x:v>
      </x:c>
      <x:c r="F15" s="32" t="str">
        <x:v>Win Rate</x:v>
      </x:c>
      <x:c r="G15" s="32" t="str">
        <x:v>Full Adherence</x:v>
      </x:c>
      <x:c r="I15" s="49" t="str">
        <x:v>Setup</x:v>
      </x:c>
      <x:c r="J15" s="49" t="str">
        <x:v>Closed Trades</x:v>
      </x:c>
      <x:c r="K15" s="49" t="str">
        <x:v>Net P/L</x:v>
      </x:c>
      <x:c r="L15" s="49" t="str">
        <x:v>Total R</x:v>
      </x:c>
      <x:c r="M15" s="49" t="str">
        <x:v>Average R</x:v>
      </x:c>
      <x:c r="N15" s="49" t="str">
        <x:v>Win Rate</x:v>
      </x:c>
      <x:c r="O15" s="49" t="str">
        <x:v>Full Adherence</x:v>
      </x:c>
    </x:row>
    <x:row r="16">
      <x:c r="A16" t="str">
        <x:v>Robinhood Social</x:v>
      </x:c>
      <x:c r="B16" s="127" t="n">
        <x:f>COUNTIFS('Trade Journal'!C5:C29,"Closed",'Trade Journal'!G5:G29,A16)</x:f>
        <x:v>0</x:v>
      </x:c>
      <x:c r="C16" s="153" t="n">
        <x:f>SUMIFS('Trade Journal'!AA5:AA29,'Trade Journal'!C5:C29,"Closed",'Trade Journal'!G5:G29,A16)</x:f>
        <x:v>0</x:v>
      </x:c>
      <x:c r="D16" s="147" t="n">
        <x:f>SUMIFS('Trade Journal'!AB5:AB29,'Trade Journal'!C5:C29,"Closed",'Trade Journal'!G5:G29,A16)</x:f>
        <x:v>0</x:v>
      </x:c>
      <x:c r="E16" s="147" t="n">
        <x:f>IFERROR(D16/B16,0)</x:f>
        <x:v>0</x:v>
      </x:c>
      <x:c r="F16" s="155" t="n">
        <x:f>IFERROR(COUNTIFS('Trade Journal'!C5:C29,"Closed",'Trade Journal'!G5:G29,A16,'Trade Journal'!AA5:AA29,"&gt;0")/B16,0)</x:f>
        <x:v>0</x:v>
      </x:c>
      <x:c r="G16" s="155" t="n">
        <x:f>IFERROR(COUNTIFS('Trade Journal'!C5:C29,"Closed",'Trade Journal'!G5:G29,A16,'Trade Journal'!AE5:AE29,"Full")/B16,0)</x:f>
        <x:v>0</x:v>
      </x:c>
      <x:c r="I16" t="str">
        <x:v>Support Bounce</x:v>
      </x:c>
      <x:c r="J16" s="127" t="n">
        <x:f>COUNTIFS('Trade Journal'!C5:C29,"Closed",'Trade Journal'!J5:J29,I16)</x:f>
        <x:v>0</x:v>
      </x:c>
      <x:c r="K16" s="153" t="n">
        <x:f>SUMIFS('Trade Journal'!AA5:AA29,'Trade Journal'!C5:C29,"Closed",'Trade Journal'!J5:J29,I16)</x:f>
        <x:v>0</x:v>
      </x:c>
      <x:c r="L16" s="147" t="n">
        <x:f>SUMIFS('Trade Journal'!AB5:AB29,'Trade Journal'!C5:C29,"Closed",'Trade Journal'!J5:J29,I16)</x:f>
        <x:v>0</x:v>
      </x:c>
      <x:c r="M16" s="147" t="n">
        <x:f>IFERROR(L16/J16,0)</x:f>
        <x:v>0</x:v>
      </x:c>
      <x:c r="N16" s="155" t="n">
        <x:f>IFERROR(COUNTIFS('Trade Journal'!C5:C29,"Closed",'Trade Journal'!J5:J29,I16,'Trade Journal'!AA5:AA29,"&gt;0")/J16,0)</x:f>
        <x:v>0</x:v>
      </x:c>
      <x:c r="O16" s="155" t="n">
        <x:f>IFERROR(COUNTIFS('Trade Journal'!C5:C29,"Closed",'Trade Journal'!J5:J29,I16,'Trade Journal'!AE5:AE29,"Full")/J16,0)</x:f>
        <x:v>0</x:v>
      </x:c>
    </x:row>
    <x:row r="17">
      <x:c r="A17" t="str">
        <x:v>Simply Wall St</x:v>
      </x:c>
      <x:c r="B17" s="127" t="n">
        <x:f>COUNTIFS('Trade Journal'!C5:C29,"Closed",'Trade Journal'!G5:G29,A17)</x:f>
        <x:v>0</x:v>
      </x:c>
      <x:c r="C17" s="153" t="n">
        <x:f>SUMIFS('Trade Journal'!AA5:AA29,'Trade Journal'!C5:C29,"Closed",'Trade Journal'!G5:G29,A17)</x:f>
        <x:v>0</x:v>
      </x:c>
      <x:c r="D17" s="147" t="n">
        <x:f>SUMIFS('Trade Journal'!AB5:AB29,'Trade Journal'!C5:C29,"Closed",'Trade Journal'!G5:G29,A17)</x:f>
        <x:v>0</x:v>
      </x:c>
      <x:c r="E17" s="147" t="n">
        <x:f>IFERROR(D17/B17,0)</x:f>
        <x:v>0</x:v>
      </x:c>
      <x:c r="F17" s="155" t="n">
        <x:f>IFERROR(COUNTIFS('Trade Journal'!C5:C29,"Closed",'Trade Journal'!G5:G29,A17,'Trade Journal'!AA5:AA29,"&gt;0")/B17,0)</x:f>
        <x:v>0</x:v>
      </x:c>
      <x:c r="G17" s="155" t="n">
        <x:f>IFERROR(COUNTIFS('Trade Journal'!C5:C29,"Closed",'Trade Journal'!G5:G29,A17,'Trade Journal'!AE5:AE29,"Full")/B17,0)</x:f>
        <x:v>0</x:v>
      </x:c>
      <x:c r="I17" t="str">
        <x:v>Support Reclaim</x:v>
      </x:c>
      <x:c r="J17" s="127" t="n">
        <x:f>COUNTIFS('Trade Journal'!C5:C29,"Closed",'Trade Journal'!J5:J29,I17)</x:f>
        <x:v>0</x:v>
      </x:c>
      <x:c r="K17" s="153" t="n">
        <x:f>SUMIFS('Trade Journal'!AA5:AA29,'Trade Journal'!C5:C29,"Closed",'Trade Journal'!J5:J29,I17)</x:f>
        <x:v>0</x:v>
      </x:c>
      <x:c r="L17" s="147" t="n">
        <x:f>SUMIFS('Trade Journal'!AB5:AB29,'Trade Journal'!C5:C29,"Closed",'Trade Journal'!J5:J29,I17)</x:f>
        <x:v>0</x:v>
      </x:c>
      <x:c r="M17" s="147" t="n">
        <x:f>IFERROR(L17/J17,0)</x:f>
        <x:v>0</x:v>
      </x:c>
      <x:c r="N17" s="155" t="n">
        <x:f>IFERROR(COUNTIFS('Trade Journal'!C5:C29,"Closed",'Trade Journal'!J5:J29,I17,'Trade Journal'!AA5:AA29,"&gt;0")/J17,0)</x:f>
        <x:v>0</x:v>
      </x:c>
      <x:c r="O17" s="155" t="n">
        <x:f>IFERROR(COUNTIFS('Trade Journal'!C5:C29,"Closed",'Trade Journal'!J5:J29,I17,'Trade Journal'!AE5:AE29,"Full")/J17,0)</x:f>
        <x:v>0</x:v>
      </x:c>
    </x:row>
    <x:row r="18">
      <x:c r="A18" t="str">
        <x:v>Tickeron</x:v>
      </x:c>
      <x:c r="B18" s="127" t="n">
        <x:f>COUNTIFS('Trade Journal'!C5:C29,"Closed",'Trade Journal'!G5:G29,A18)</x:f>
        <x:v>0</x:v>
      </x:c>
      <x:c r="C18" s="153" t="n">
        <x:f>SUMIFS('Trade Journal'!AA5:AA29,'Trade Journal'!C5:C29,"Closed",'Trade Journal'!G5:G29,A18)</x:f>
        <x:v>0</x:v>
      </x:c>
      <x:c r="D18" s="147" t="n">
        <x:f>SUMIFS('Trade Journal'!AB5:AB29,'Trade Journal'!C5:C29,"Closed",'Trade Journal'!G5:G29,A18)</x:f>
        <x:v>0</x:v>
      </x:c>
      <x:c r="E18" s="147" t="n">
        <x:f>IFERROR(D18/B18,0)</x:f>
        <x:v>0</x:v>
      </x:c>
      <x:c r="F18" s="155" t="n">
        <x:f>IFERROR(COUNTIFS('Trade Journal'!C5:C29,"Closed",'Trade Journal'!G5:G29,A18,'Trade Journal'!AA5:AA29,"&gt;0")/B18,0)</x:f>
        <x:v>0</x:v>
      </x:c>
      <x:c r="G18" s="155" t="n">
        <x:f>IFERROR(COUNTIFS('Trade Journal'!C5:C29,"Closed",'Trade Journal'!G5:G29,A18,'Trade Journal'!AE5:AE29,"Full")/B18,0)</x:f>
        <x:v>0</x:v>
      </x:c>
      <x:c r="I18" t="str">
        <x:v>Breakout</x:v>
      </x:c>
      <x:c r="J18" s="127" t="n">
        <x:f>COUNTIFS('Trade Journal'!C5:C29,"Closed",'Trade Journal'!J5:J29,I18)</x:f>
        <x:v>0</x:v>
      </x:c>
      <x:c r="K18" s="153" t="n">
        <x:f>SUMIFS('Trade Journal'!AA5:AA29,'Trade Journal'!C5:C29,"Closed",'Trade Journal'!J5:J29,I18)</x:f>
        <x:v>0</x:v>
      </x:c>
      <x:c r="L18" s="147" t="n">
        <x:f>SUMIFS('Trade Journal'!AB5:AB29,'Trade Journal'!C5:C29,"Closed",'Trade Journal'!J5:J29,I18)</x:f>
        <x:v>0</x:v>
      </x:c>
      <x:c r="M18" s="147" t="n">
        <x:f>IFERROR(L18/J18,0)</x:f>
        <x:v>0</x:v>
      </x:c>
      <x:c r="N18" s="155" t="n">
        <x:f>IFERROR(COUNTIFS('Trade Journal'!C5:C29,"Closed",'Trade Journal'!J5:J29,I18,'Trade Journal'!AA5:AA29,"&gt;0")/J18,0)</x:f>
        <x:v>0</x:v>
      </x:c>
      <x:c r="O18" s="155" t="n">
        <x:f>IFERROR(COUNTIFS('Trade Journal'!C5:C29,"Closed",'Trade Journal'!J5:J29,I18,'Trade Journal'!AE5:AE29,"Full")/J18,0)</x:f>
        <x:v>0</x:v>
      </x:c>
    </x:row>
    <x:row r="19">
      <x:c r="A19" t="str">
        <x:v>Moomoo</x:v>
      </x:c>
      <x:c r="B19" s="127" t="n">
        <x:f>COUNTIFS('Trade Journal'!C5:C29,"Closed",'Trade Journal'!G5:G29,A19)</x:f>
        <x:v>0</x:v>
      </x:c>
      <x:c r="C19" s="153" t="n">
        <x:f>SUMIFS('Trade Journal'!AA5:AA29,'Trade Journal'!C5:C29,"Closed",'Trade Journal'!G5:G29,A19)</x:f>
        <x:v>0</x:v>
      </x:c>
      <x:c r="D19" s="147" t="n">
        <x:f>SUMIFS('Trade Journal'!AB5:AB29,'Trade Journal'!C5:C29,"Closed",'Trade Journal'!G5:G29,A19)</x:f>
        <x:v>0</x:v>
      </x:c>
      <x:c r="E19" s="147" t="n">
        <x:f>IFERROR(D19/B19,0)</x:f>
        <x:v>0</x:v>
      </x:c>
      <x:c r="F19" s="155" t="n">
        <x:f>IFERROR(COUNTIFS('Trade Journal'!C5:C29,"Closed",'Trade Journal'!G5:G29,A19,'Trade Journal'!AA5:AA29,"&gt;0")/B19,0)</x:f>
        <x:v>0</x:v>
      </x:c>
      <x:c r="G19" s="155" t="n">
        <x:f>IFERROR(COUNTIFS('Trade Journal'!C5:C29,"Closed",'Trade Journal'!G5:G29,A19,'Trade Journal'!AE5:AE29,"Full")/B19,0)</x:f>
        <x:v>0</x:v>
      </x:c>
      <x:c r="I19" t="str">
        <x:v>Pullback in Uptrend</x:v>
      </x:c>
      <x:c r="J19" s="127" t="n">
        <x:f>COUNTIFS('Trade Journal'!C5:C29,"Closed",'Trade Journal'!J5:J29,I19)</x:f>
        <x:v>0</x:v>
      </x:c>
      <x:c r="K19" s="153" t="n">
        <x:f>SUMIFS('Trade Journal'!AA5:AA29,'Trade Journal'!C5:C29,"Closed",'Trade Journal'!J5:J29,I19)</x:f>
        <x:v>0</x:v>
      </x:c>
      <x:c r="L19" s="147" t="n">
        <x:f>SUMIFS('Trade Journal'!AB5:AB29,'Trade Journal'!C5:C29,"Closed",'Trade Journal'!J5:J29,I19)</x:f>
        <x:v>0</x:v>
      </x:c>
      <x:c r="M19" s="147" t="n">
        <x:f>IFERROR(L19/J19,0)</x:f>
        <x:v>0</x:v>
      </x:c>
      <x:c r="N19" s="155" t="n">
        <x:f>IFERROR(COUNTIFS('Trade Journal'!C5:C29,"Closed",'Trade Journal'!J5:J29,I19,'Trade Journal'!AA5:AA29,"&gt;0")/J19,0)</x:f>
        <x:v>0</x:v>
      </x:c>
      <x:c r="O19" s="155" t="n">
        <x:f>IFERROR(COUNTIFS('Trade Journal'!C5:C29,"Closed",'Trade Journal'!J5:J29,I19,'Trade Journal'!AE5:AE29,"Full")/J19,0)</x:f>
        <x:v>0</x:v>
      </x:c>
    </x:row>
    <x:row r="20">
      <x:c r="A20" t="str">
        <x:v>Own Research</x:v>
      </x:c>
      <x:c r="B20" s="127" t="n">
        <x:f>COUNTIFS('Trade Journal'!C5:C29,"Closed",'Trade Journal'!G5:G29,A20)</x:f>
        <x:v>0</x:v>
      </x:c>
      <x:c r="C20" s="153" t="n">
        <x:f>SUMIFS('Trade Journal'!AA5:AA29,'Trade Journal'!C5:C29,"Closed",'Trade Journal'!G5:G29,A20)</x:f>
        <x:v>0</x:v>
      </x:c>
      <x:c r="D20" s="147" t="n">
        <x:f>SUMIFS('Trade Journal'!AB5:AB29,'Trade Journal'!C5:C29,"Closed",'Trade Journal'!G5:G29,A20)</x:f>
        <x:v>0</x:v>
      </x:c>
      <x:c r="E20" s="147" t="n">
        <x:f>IFERROR(D20/B20,0)</x:f>
        <x:v>0</x:v>
      </x:c>
      <x:c r="F20" s="155" t="n">
        <x:f>IFERROR(COUNTIFS('Trade Journal'!C5:C29,"Closed",'Trade Journal'!G5:G29,A20,'Trade Journal'!AA5:AA29,"&gt;0")/B20,0)</x:f>
        <x:v>0</x:v>
      </x:c>
      <x:c r="G20" s="155" t="n">
        <x:f>IFERROR(COUNTIFS('Trade Journal'!C5:C29,"Closed",'Trade Journal'!G5:G29,A20,'Trade Journal'!AE5:AE29,"Full")/B20,0)</x:f>
        <x:v>0</x:v>
      </x:c>
      <x:c r="I20" t="str">
        <x:v>Momentum Continuation</x:v>
      </x:c>
      <x:c r="J20" s="127" t="n">
        <x:f>COUNTIFS('Trade Journal'!C5:C29,"Closed",'Trade Journal'!J5:J29,I20)</x:f>
        <x:v>0</x:v>
      </x:c>
      <x:c r="K20" s="153" t="n">
        <x:f>SUMIFS('Trade Journal'!AA5:AA29,'Trade Journal'!C5:C29,"Closed",'Trade Journal'!J5:J29,I20)</x:f>
        <x:v>0</x:v>
      </x:c>
      <x:c r="L20" s="147" t="n">
        <x:f>SUMIFS('Trade Journal'!AB5:AB29,'Trade Journal'!C5:C29,"Closed",'Trade Journal'!J5:J29,I20)</x:f>
        <x:v>0</x:v>
      </x:c>
      <x:c r="M20" s="147" t="n">
        <x:f>IFERROR(L20/J20,0)</x:f>
        <x:v>0</x:v>
      </x:c>
      <x:c r="N20" s="155" t="n">
        <x:f>IFERROR(COUNTIFS('Trade Journal'!C5:C29,"Closed",'Trade Journal'!J5:J29,I20,'Trade Journal'!AA5:AA29,"&gt;0")/J20,0)</x:f>
        <x:v>0</x:v>
      </x:c>
      <x:c r="O20" s="155" t="n">
        <x:f>IFERROR(COUNTIFS('Trade Journal'!C5:C29,"Closed",'Trade Journal'!J5:J29,I20,'Trade Journal'!AE5:AE29,"Full")/J20,0)</x:f>
        <x:v>0</x:v>
      </x:c>
    </x:row>
    <x:row r="21">
      <x:c r="A21" t="str">
        <x:v>Other</x:v>
      </x:c>
      <x:c r="B21" s="127" t="n">
        <x:f>COUNTIFS('Trade Journal'!C5:C29,"Closed",'Trade Journal'!G5:G29,A21)</x:f>
        <x:v>0</x:v>
      </x:c>
      <x:c r="C21" s="153" t="n">
        <x:f>SUMIFS('Trade Journal'!AA5:AA29,'Trade Journal'!C5:C29,"Closed",'Trade Journal'!G5:G29,A21)</x:f>
        <x:v>0</x:v>
      </x:c>
      <x:c r="D21" s="147" t="n">
        <x:f>SUMIFS('Trade Journal'!AB5:AB29,'Trade Journal'!C5:C29,"Closed",'Trade Journal'!G5:G29,A21)</x:f>
        <x:v>0</x:v>
      </x:c>
      <x:c r="E21" s="147" t="n">
        <x:f>IFERROR(D21/B21,0)</x:f>
        <x:v>0</x:v>
      </x:c>
      <x:c r="F21" s="155" t="n">
        <x:f>IFERROR(COUNTIFS('Trade Journal'!C5:C29,"Closed",'Trade Journal'!G5:G29,A21,'Trade Journal'!AA5:AA29,"&gt;0")/B21,0)</x:f>
        <x:v>0</x:v>
      </x:c>
      <x:c r="G21" s="155" t="n">
        <x:f>IFERROR(COUNTIFS('Trade Journal'!C5:C29,"Closed",'Trade Journal'!G5:G29,A21,'Trade Journal'!AE5:AE29,"Full")/B21,0)</x:f>
        <x:v>0</x:v>
      </x:c>
      <x:c r="I21" t="str">
        <x:v>Oversold Reversal</x:v>
      </x:c>
      <x:c r="J21" s="127" t="n">
        <x:f>COUNTIFS('Trade Journal'!C5:C29,"Closed",'Trade Journal'!J5:J29,I21)</x:f>
        <x:v>0</x:v>
      </x:c>
      <x:c r="K21" s="153" t="n">
        <x:f>SUMIFS('Trade Journal'!AA5:AA29,'Trade Journal'!C5:C29,"Closed",'Trade Journal'!J5:J29,I21)</x:f>
        <x:v>0</x:v>
      </x:c>
      <x:c r="L21" s="147" t="n">
        <x:f>SUMIFS('Trade Journal'!AB5:AB29,'Trade Journal'!C5:C29,"Closed",'Trade Journal'!J5:J29,I21)</x:f>
        <x:v>0</x:v>
      </x:c>
      <x:c r="M21" s="147" t="n">
        <x:f>IFERROR(L21/J21,0)</x:f>
        <x:v>0</x:v>
      </x:c>
      <x:c r="N21" s="155" t="n">
        <x:f>IFERROR(COUNTIFS('Trade Journal'!C5:C29,"Closed",'Trade Journal'!J5:J29,I21,'Trade Journal'!AA5:AA29,"&gt;0")/J21,0)</x:f>
        <x:v>0</x:v>
      </x:c>
      <x:c r="O21" s="155" t="n">
        <x:f>IFERROR(COUNTIFS('Trade Journal'!C5:C29,"Closed",'Trade Journal'!J5:J29,I21,'Trade Journal'!AE5:AE29,"Full")/J21,0)</x:f>
        <x:v>0</x:v>
      </x:c>
    </x:row>
    <x:row r="22">
      <x:c r="I22" t="str">
        <x:v>Overbought Reversal</x:v>
      </x:c>
      <x:c r="J22" s="127" t="n">
        <x:f>COUNTIFS('Trade Journal'!C5:C29,"Closed",'Trade Journal'!J5:J29,I22)</x:f>
        <x:v>0</x:v>
      </x:c>
      <x:c r="K22" s="153" t="n">
        <x:f>SUMIFS('Trade Journal'!AA5:AA29,'Trade Journal'!C5:C29,"Closed",'Trade Journal'!J5:J29,I22)</x:f>
        <x:v>0</x:v>
      </x:c>
      <x:c r="L22" s="147" t="n">
        <x:f>SUMIFS('Trade Journal'!AB5:AB29,'Trade Journal'!C5:C29,"Closed",'Trade Journal'!J5:J29,I22)</x:f>
        <x:v>0</x:v>
      </x:c>
      <x:c r="M22" s="147" t="n">
        <x:f>IFERROR(L22/J22,0)</x:f>
        <x:v>0</x:v>
      </x:c>
      <x:c r="N22" s="155" t="n">
        <x:f>IFERROR(COUNTIFS('Trade Journal'!C5:C29,"Closed",'Trade Journal'!J5:J29,I22,'Trade Journal'!AA5:AA29,"&gt;0")/J22,0)</x:f>
        <x:v>0</x:v>
      </x:c>
      <x:c r="O22" s="155" t="n">
        <x:f>IFERROR(COUNTIFS('Trade Journal'!C5:C29,"Closed",'Trade Journal'!J5:J29,I22,'Trade Journal'!AE5:AE29,"Full")/J22,0)</x:f>
        <x:v>0</x:v>
      </x:c>
    </x:row>
    <x:row r="23">
      <x:c r="I23" t="str">
        <x:v>Tickeron Signal-Following</x:v>
      </x:c>
      <x:c r="J23" s="127" t="n">
        <x:f>COUNTIFS('Trade Journal'!C5:C29,"Closed",'Trade Journal'!J5:J29,I23)</x:f>
        <x:v>0</x:v>
      </x:c>
      <x:c r="K23" s="153" t="n">
        <x:f>SUMIFS('Trade Journal'!AA5:AA29,'Trade Journal'!C5:C29,"Closed",'Trade Journal'!J5:J29,I23)</x:f>
        <x:v>0</x:v>
      </x:c>
      <x:c r="L23" s="147" t="n">
        <x:f>SUMIFS('Trade Journal'!AB5:AB29,'Trade Journal'!C5:C29,"Closed",'Trade Journal'!J5:J29,I23)</x:f>
        <x:v>0</x:v>
      </x:c>
      <x:c r="M23" s="147" t="n">
        <x:f>IFERROR(L23/J23,0)</x:f>
        <x:v>0</x:v>
      </x:c>
      <x:c r="N23" s="155" t="n">
        <x:f>IFERROR(COUNTIFS('Trade Journal'!C5:C29,"Closed",'Trade Journal'!J5:J29,I23,'Trade Journal'!AA5:AA29,"&gt;0")/J23,0)</x:f>
        <x:v>0</x:v>
      </x:c>
      <x:c r="O23" s="155" t="n">
        <x:f>IFERROR(COUNTIFS('Trade Journal'!C5:C29,"Closed",'Trade Journal'!J5:J29,I23,'Trade Journal'!AE5:AE29,"Full")/J23,0)</x:f>
        <x:v>0</x:v>
      </x:c>
    </x:row>
    <x:row r="24">
      <x:c r="I24" t="str">
        <x:v>Other</x:v>
      </x:c>
      <x:c r="J24" s="127" t="n">
        <x:f>COUNTIFS('Trade Journal'!C5:C29,"Closed",'Trade Journal'!J5:J29,I24)</x:f>
        <x:v>0</x:v>
      </x:c>
      <x:c r="K24" s="153" t="n">
        <x:f>SUMIFS('Trade Journal'!AA5:AA29,'Trade Journal'!C5:C29,"Closed",'Trade Journal'!J5:J29,I24)</x:f>
        <x:v>0</x:v>
      </x:c>
      <x:c r="L24" s="147" t="n">
        <x:f>SUMIFS('Trade Journal'!AB5:AB29,'Trade Journal'!C5:C29,"Closed",'Trade Journal'!J5:J29,I24)</x:f>
        <x:v>0</x:v>
      </x:c>
      <x:c r="M24" s="147" t="n">
        <x:f>IFERROR(L24/J24,0)</x:f>
        <x:v>0</x:v>
      </x:c>
      <x:c r="N24" s="155" t="n">
        <x:f>IFERROR(COUNTIFS('Trade Journal'!C5:C29,"Closed",'Trade Journal'!J5:J29,I24,'Trade Journal'!AA5:AA29,"&gt;0")/J24,0)</x:f>
        <x:v>0</x:v>
      </x:c>
      <x:c r="O24" s="155" t="n">
        <x:f>IFERROR(COUNTIFS('Trade Journal'!C5:C29,"Closed",'Trade Journal'!J5:J29,I24,'Trade Journal'!AE5:AE29,"Full")/J24,0)</x:f>
        <x:v>0</x:v>
      </x:c>
    </x:row>
    <x:row r="27" ht="22" customHeight="1">
      <x:c r="A27" s="168" t="str">
        <x:v>Interpretation note</x:v>
      </x:c>
      <x:c r="B27" s="168"/>
      <x:c r="C27" s="168"/>
      <x:c r="D27" s="168"/>
      <x:c r="E27" s="168"/>
      <x:c r="F27" s="168"/>
      <x:c r="G27" s="168"/>
      <x:c r="H27" s="168"/>
      <x:c r="I27" s="168"/>
      <x:c r="J27" s="168"/>
      <x:c r="K27" s="168"/>
      <x:c r="L27" s="168"/>
      <x:c r="M27" s="168"/>
      <x:c r="N27" s="168"/>
      <x:c r="O27" s="168"/>
    </x:row>
    <x:row r="28">
      <x:c r="A28" s="172" t="str">
        <x:v>Five trades are sufficient to evaluate usability, not strategy quality. Do not focus, pause, or retire a strategy based on this small sample.</x:v>
      </x:c>
      <x:c r="B28" s="172"/>
      <x:c r="C28" s="172"/>
      <x:c r="D28" s="172"/>
      <x:c r="E28" s="172"/>
      <x:c r="F28" s="172"/>
      <x:c r="G28" s="172"/>
      <x:c r="H28" s="172"/>
      <x:c r="I28" s="172"/>
      <x:c r="J28" s="172"/>
      <x:c r="K28" s="172"/>
      <x:c r="L28" s="172"/>
      <x:c r="M28" s="172"/>
      <x:c r="N28" s="172"/>
      <x:c r="O28" s="172"/>
    </x:row>
    <x:row r="29">
      <x:c r="A29" s="172"/>
      <x:c r="B29" s="172"/>
      <x:c r="C29" s="172"/>
      <x:c r="D29" s="172"/>
      <x:c r="E29" s="172"/>
      <x:c r="F29" s="172"/>
      <x:c r="G29" s="172"/>
      <x:c r="H29" s="172"/>
      <x:c r="I29" s="172"/>
      <x:c r="J29" s="172"/>
      <x:c r="K29" s="172"/>
      <x:c r="L29" s="172"/>
      <x:c r="M29" s="172"/>
      <x:c r="N29" s="172"/>
      <x:c r="O29" s="172"/>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8" hidden="0" customWidth="1"/>
    <x:col min="3" max="3" width="18" hidden="0" customWidth="1"/>
    <x:col min="4" max="4" width="36" hidden="0" customWidth="1"/>
    <x:col min="5" max="5" width="44" hidden="0" customWidth="1"/>
    <x:col min="6" max="6" width="18" hidden="0" customWidth="1"/>
    <x:col min="7" max="7" width="18" hidden="0" customWidth="1"/>
    <x:col min="8" max="8" width="34" hidden="0" customWidth="1"/>
  </x:cols>
  <x:sheetData>
    <x:row r="1" ht="28" customHeight="1">
      <x:c r="A1" s="4" t="str">
        <x:v>Five-Trade Usability Review</x:v>
      </x:c>
      <x:c r="B1" s="4"/>
      <x:c r="C1" s="4"/>
      <x:c r="D1" s="4"/>
      <x:c r="E1" s="4"/>
      <x:c r="F1" s="4"/>
      <x:c r="G1" s="4"/>
      <x:c r="H1" s="4"/>
    </x:row>
    <x:row r="2">
      <x:c r="A2" s="10" t="str">
        <x:v>Complete one row for each of the first five new trades. Timing estimates are enough.</x:v>
      </x:c>
      <x:c r="B2" s="10"/>
      <x:c r="C2" s="10"/>
      <x:c r="D2" s="10"/>
      <x:c r="E2" s="10"/>
      <x:c r="F2" s="10"/>
      <x:c r="G2" s="10"/>
      <x:c r="H2" s="10"/>
    </x:row>
    <x:row r="4" ht="22" customHeight="1">
      <x:c r="A4" s="16" t="str">
        <x:v>Per-trade feedback</x:v>
      </x:c>
      <x:c r="B4" s="16"/>
      <x:c r="C4" s="16"/>
      <x:c r="D4" s="16"/>
      <x:c r="E4" s="16"/>
      <x:c r="F4" s="16"/>
      <x:c r="G4" s="16"/>
      <x:c r="H4" s="16"/>
    </x:row>
    <x:row r="5" ht="42" customHeight="1">
      <x:c r="A5" s="32" t="str">
        <x:v>Trade ID</x:v>
      </x:c>
      <x:c r="B5" s="32" t="str">
        <x:v>Entry Logging Minutes</x:v>
      </x:c>
      <x:c r="C5" s="32" t="str">
        <x:v>Exit Logging Minutes</x:v>
      </x:c>
      <x:c r="D5" s="32" t="str">
        <x:v>Confusing Fields</x:v>
      </x:c>
      <x:c r="E5" s="32" t="str">
        <x:v>Unnecessary Fields</x:v>
      </x:c>
      <x:c r="F5" s="32" t="str">
        <x:v>Missing Information</x:v>
      </x:c>
      <x:c r="G5" s="32" t="str">
        <x:v>Would Change?</x:v>
      </x:c>
      <x:c r="H5" s="32" t="str">
        <x:v>Notes</x:v>
      </x:c>
    </x:row>
    <x:row r="6" ht="36" customHeight="1">
      <x:c r="A6" s="107" t="str">
        <x:v>EF-001</x:v>
      </x:c>
      <x:c r="B6" s="175"/>
      <x:c r="C6" s="175"/>
      <x:c r="D6" s="113"/>
      <x:c r="E6" s="113"/>
      <x:c r="F6" s="113"/>
      <x:c r="G6" s="113"/>
      <x:c r="H6" s="113"/>
    </x:row>
    <x:row r="7" ht="36" customHeight="1">
      <x:c r="A7" s="107" t="str">
        <x:v>EF-002</x:v>
      </x:c>
      <x:c r="B7" s="175"/>
      <x:c r="C7" s="175"/>
      <x:c r="D7" s="113"/>
      <x:c r="E7" s="113"/>
      <x:c r="F7" s="113"/>
      <x:c r="G7" s="113"/>
      <x:c r="H7" s="113"/>
    </x:row>
    <x:row r="8" ht="36" customHeight="1">
      <x:c r="A8" s="107" t="str">
        <x:v>EF-003</x:v>
      </x:c>
      <x:c r="B8" s="175"/>
      <x:c r="C8" s="175"/>
      <x:c r="D8" s="113"/>
      <x:c r="E8" s="113"/>
      <x:c r="F8" s="113"/>
      <x:c r="G8" s="113"/>
      <x:c r="H8" s="113"/>
    </x:row>
    <x:row r="9" ht="36" customHeight="1">
      <x:c r="A9" s="107" t="str">
        <x:v>EF-004</x:v>
      </x:c>
      <x:c r="B9" s="175"/>
      <x:c r="C9" s="175"/>
      <x:c r="D9" s="113"/>
      <x:c r="E9" s="113"/>
      <x:c r="F9" s="113"/>
      <x:c r="G9" s="113"/>
      <x:c r="H9" s="113"/>
    </x:row>
    <x:row r="10" ht="36" customHeight="1">
      <x:c r="A10" s="107" t="str">
        <x:v>EF-005</x:v>
      </x:c>
      <x:c r="B10" s="175"/>
      <x:c r="C10" s="175"/>
      <x:c r="D10" s="113"/>
      <x:c r="E10" s="113"/>
      <x:c r="F10" s="113"/>
      <x:c r="G10" s="113"/>
      <x:c r="H10" s="113"/>
    </x:row>
    <x:row r="12" ht="22" customHeight="1">
      <x:c r="A12" s="158" t="str">
        <x:v>Usability summary</x:v>
      </x:c>
      <x:c r="B12" s="158"/>
      <x:c r="C12" s="158"/>
      <x:c r="D12" s="164" t="str">
        <x:v>Overall review questions</x:v>
      </x:c>
      <x:c r="E12" s="164"/>
      <x:c r="F12" s="164"/>
      <x:c r="G12" s="164"/>
      <x:c r="H12" s="164"/>
    </x:row>
    <x:row r="13" ht="42" customHeight="1">
      <x:c r="A13" s="49" t="str">
        <x:v>Metric</x:v>
      </x:c>
      <x:c r="B13" s="49" t="str">
        <x:v>Value</x:v>
      </x:c>
      <x:c r="D13" s="99" t="str">
        <x:v>Question</x:v>
      </x:c>
      <x:c r="E13" s="99" t="str">
        <x:v>Your Answer</x:v>
      </x:c>
    </x:row>
    <x:row r="14">
      <x:c r="A14" t="str">
        <x:v>Average entry logging minutes</x:v>
      </x:c>
      <x:c r="B14" s="161" t="n">
        <x:f>IFERROR(AVERAGE(B6:B10),0)</x:f>
        <x:v>0</x:v>
      </x:c>
      <x:c r="D14" t="str">
        <x:v>Did the journal improve decision quality?</x:v>
      </x:c>
      <x:c r="E14" s="133" t="str"/>
    </x:row>
    <x:row r="15">
      <x:c r="A15" t="str">
        <x:v>Average exit logging minutes</x:v>
      </x:c>
      <x:c r="B15" s="161" t="n">
        <x:f>IFERROR(AVERAGE(C6:C10),0)</x:f>
        <x:v>0</x:v>
      </x:c>
      <x:c r="D15" t="str">
        <x:v>Which field should be removed first?</x:v>
      </x:c>
      <x:c r="E15" s="133" t="str"/>
    </x:row>
    <x:row r="16">
      <x:c r="A16" t="str">
        <x:v>Five entry logs completed?</x:v>
      </x:c>
      <x:c r="B16" s="127" t="str">
        <x:f>IF(COUNT(B6:B10)=5,"Yes","No")</x:f>
        <x:v>No</x:v>
      </x:c>
      <x:c r="D16" t="str">
        <x:v>Which field should be added first?</x:v>
      </x:c>
      <x:c r="E16" s="133" t="str"/>
    </x:row>
    <x:row r="17">
      <x:c r="D17" t="str">
        <x:v>Keep using after the pilot?</x:v>
      </x:c>
      <x:c r="E17" s="133" t="str"/>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4" hidden="0" customWidth="1"/>
    <x:col min="2" max="2" width="22" hidden="0" customWidth="1"/>
    <x:col min="3" max="3" width="16" hidden="0" customWidth="1"/>
    <x:col min="4" max="4" width="14" hidden="0" customWidth="1"/>
    <x:col min="5" max="5" width="14" hidden="0" customWidth="1"/>
    <x:col min="6" max="6" width="16" hidden="0" customWidth="1"/>
    <x:col min="7" max="7" width="16" hidden="0" customWidth="1"/>
    <x:col min="8" max="8" width="14" hidden="0" customWidth="1"/>
    <x:col min="9" max="9" width="16" hidden="0" customWidth="1"/>
    <x:col min="10" max="10" width="16" hidden="0" customWidth="1"/>
    <x:col min="11" max="11" width="14" hidden="0" customWidth="1"/>
    <x:col min="12" max="12" width="18" hidden="0" customWidth="1"/>
    <x:col min="13" max="13" width="30" hidden="0" customWidth="1"/>
    <x:col min="14" max="14" width="14" hidden="0" customWidth="1"/>
    <x:col min="15" max="15" width="34" hidden="0" customWidth="1"/>
  </x:cols>
  <x:sheetData>
    <x:row r="1" ht="28" customHeight="1">
      <x:c r="A1" s="4" t="str">
        <x:v>Automated Systems - Monthly Summary Only</x:v>
      </x:c>
      <x:c r="B1" s="4"/>
      <x:c r="C1" s="4"/>
      <x:c r="D1" s="4"/>
      <x:c r="E1" s="4"/>
      <x:c r="F1" s="4"/>
      <x:c r="G1" s="4"/>
      <x:c r="H1" s="4"/>
      <x:c r="I1" s="4"/>
      <x:c r="J1" s="4"/>
      <x:c r="K1" s="4"/>
      <x:c r="L1" s="4"/>
      <x:c r="M1" s="4"/>
      <x:c r="N1" s="4"/>
      <x:c r="O1" s="4"/>
    </x:row>
    <x:row r="2">
      <x:c r="A2" s="10" t="str">
        <x:v>Use for Autopilot and Calicut Commodities. Do not recreate every automated trade unless you manually intervene.</x:v>
      </x:c>
      <x:c r="B2" s="10"/>
      <x:c r="C2" s="10"/>
      <x:c r="D2" s="10"/>
      <x:c r="E2" s="10"/>
      <x:c r="F2" s="10"/>
      <x:c r="G2" s="10"/>
      <x:c r="H2" s="10"/>
      <x:c r="I2" s="10"/>
      <x:c r="J2" s="10"/>
      <x:c r="K2" s="10"/>
      <x:c r="L2" s="10"/>
      <x:c r="M2" s="10"/>
      <x:c r="N2" s="10"/>
      <x:c r="O2" s="10"/>
    </x:row>
    <x:row r="4" ht="42" customHeight="1">
      <x:c r="A4" s="32" t="str">
        <x:v>Month</x:v>
      </x:c>
      <x:c r="B4" s="32" t="str">
        <x:v>System</x:v>
      </x:c>
      <x:c r="C4" s="32" t="str">
        <x:v>Beginning Value</x:v>
      </x:c>
      <x:c r="D4" s="32" t="str">
        <x:v>Deposits</x:v>
      </x:c>
      <x:c r="E4" s="32" t="str">
        <x:v>Withdrawals</x:v>
      </x:c>
      <x:c r="F4" s="32" t="str">
        <x:v>Ending Value</x:v>
      </x:c>
      <x:c r="G4" s="32" t="str">
        <x:v>Trading P/L</x:v>
      </x:c>
      <x:c r="H4" s="32" t="str">
        <x:v>Fixed Fees</x:v>
      </x:c>
      <x:c r="I4" s="32" t="str">
        <x:v>Net After Fees</x:v>
      </x:c>
      <x:c r="J4" s="32" t="str">
        <x:v>Simple Net Return</x:v>
      </x:c>
      <x:c r="K4" s="32" t="str">
        <x:v>Max Drawdown</x:v>
      </x:c>
      <x:c r="L4" s="32" t="str">
        <x:v>Manual Intervention</x:v>
      </x:c>
      <x:c r="M4" s="32" t="str">
        <x:v>Strategy / Scaling Change</x:v>
      </x:c>
      <x:c r="N4" s="32" t="str">
        <x:v>Decision</x:v>
      </x:c>
      <x:c r="O4" s="32" t="str">
        <x:v>Notes</x:v>
      </x:c>
    </x:row>
    <x:row r="5">
      <x:c r="A5" s="177"/>
      <x:c r="B5" s="113"/>
      <x:c r="C5" s="143"/>
      <x:c r="D5" s="143"/>
      <x:c r="E5" s="143"/>
      <x:c r="F5" s="143"/>
      <x:c r="G5" s="153" t="str">
        <x:f>IF(OR(C5="",F5=""),"",F5-C5-D5+E5)</x:f>
      </x:c>
      <x:c r="H5" s="143"/>
      <x:c r="I5" s="153" t="str">
        <x:f>IF(G5="","",G5-H5)</x:f>
      </x:c>
      <x:c r="J5" s="155" t="str">
        <x:f>IFERROR(I5/(C5+D5-E5),"")</x:f>
      </x:c>
      <x:c r="K5" s="179"/>
      <x:c r="L5" s="113"/>
      <x:c r="M5" s="113"/>
      <x:c r="N5" s="113"/>
      <x:c r="O5" s="113"/>
    </x:row>
    <x:row r="6">
      <x:c r="A6" s="177"/>
      <x:c r="B6" s="113"/>
      <x:c r="C6" s="143"/>
      <x:c r="D6" s="143"/>
      <x:c r="E6" s="143"/>
      <x:c r="F6" s="143"/>
      <x:c r="G6" s="153" t="str">
        <x:f>IF(OR(C6="",F6=""),"",F6-C6-D6+E6)</x:f>
      </x:c>
      <x:c r="H6" s="143"/>
      <x:c r="I6" s="153" t="str">
        <x:f>IF(G6="","",G6-H6)</x:f>
      </x:c>
      <x:c r="J6" s="155" t="str">
        <x:f>IFERROR(I6/(C6+D6-E6),"")</x:f>
      </x:c>
      <x:c r="K6" s="179"/>
      <x:c r="L6" s="113"/>
      <x:c r="M6" s="113"/>
      <x:c r="N6" s="113"/>
      <x:c r="O6" s="113"/>
    </x:row>
    <x:row r="7">
      <x:c r="A7" s="177"/>
      <x:c r="B7" s="113"/>
      <x:c r="C7" s="143"/>
      <x:c r="D7" s="143"/>
      <x:c r="E7" s="143"/>
      <x:c r="F7" s="143"/>
      <x:c r="G7" s="153" t="str">
        <x:f>IF(OR(C7="",F7=""),"",F7-C7-D7+E7)</x:f>
      </x:c>
      <x:c r="H7" s="143"/>
      <x:c r="I7" s="153" t="str">
        <x:f>IF(G7="","",G7-H7)</x:f>
      </x:c>
      <x:c r="J7" s="155" t="str">
        <x:f>IFERROR(I7/(C7+D7-E7),"")</x:f>
      </x:c>
      <x:c r="K7" s="179"/>
      <x:c r="L7" s="113"/>
      <x:c r="M7" s="113"/>
      <x:c r="N7" s="113"/>
      <x:c r="O7" s="113"/>
    </x:row>
    <x:row r="8">
      <x:c r="A8" s="177"/>
      <x:c r="B8" s="113"/>
      <x:c r="C8" s="143"/>
      <x:c r="D8" s="143"/>
      <x:c r="E8" s="143"/>
      <x:c r="F8" s="143"/>
      <x:c r="G8" s="153" t="str">
        <x:f>IF(OR(C8="",F8=""),"",F8-C8-D8+E8)</x:f>
      </x:c>
      <x:c r="H8" s="143"/>
      <x:c r="I8" s="153" t="str">
        <x:f>IF(G8="","",G8-H8)</x:f>
      </x:c>
      <x:c r="J8" s="155" t="str">
        <x:f>IFERROR(I8/(C8+D8-E8),"")</x:f>
      </x:c>
      <x:c r="K8" s="179"/>
      <x:c r="L8" s="113"/>
      <x:c r="M8" s="113"/>
      <x:c r="N8" s="113"/>
      <x:c r="O8" s="113"/>
    </x:row>
    <x:row r="9">
      <x:c r="A9" s="177"/>
      <x:c r="B9" s="113"/>
      <x:c r="C9" s="143"/>
      <x:c r="D9" s="143"/>
      <x:c r="E9" s="143"/>
      <x:c r="F9" s="143"/>
      <x:c r="G9" s="153" t="str">
        <x:f>IF(OR(C9="",F9=""),"",F9-C9-D9+E9)</x:f>
      </x:c>
      <x:c r="H9" s="143"/>
      <x:c r="I9" s="153" t="str">
        <x:f>IF(G9="","",G9-H9)</x:f>
      </x:c>
      <x:c r="J9" s="155" t="str">
        <x:f>IFERROR(I9/(C9+D9-E9),"")</x:f>
      </x:c>
      <x:c r="K9" s="179"/>
      <x:c r="L9" s="113"/>
      <x:c r="M9" s="113"/>
      <x:c r="N9" s="113"/>
      <x:c r="O9" s="113"/>
    </x:row>
    <x:row r="10">
      <x:c r="A10" s="177"/>
      <x:c r="B10" s="113"/>
      <x:c r="C10" s="143"/>
      <x:c r="D10" s="143"/>
      <x:c r="E10" s="143"/>
      <x:c r="F10" s="143"/>
      <x:c r="G10" s="153" t="str">
        <x:f>IF(OR(C10="",F10=""),"",F10-C10-D10+E10)</x:f>
      </x:c>
      <x:c r="H10" s="143"/>
      <x:c r="I10" s="153" t="str">
        <x:f>IF(G10="","",G10-H10)</x:f>
      </x:c>
      <x:c r="J10" s="155" t="str">
        <x:f>IFERROR(I10/(C10+D10-E10),"")</x:f>
      </x:c>
      <x:c r="K10" s="179"/>
      <x:c r="L10" s="113"/>
      <x:c r="M10" s="113"/>
      <x:c r="N10" s="113"/>
      <x:c r="O10" s="113"/>
    </x:row>
    <x:row r="11">
      <x:c r="A11" s="177"/>
      <x:c r="B11" s="113"/>
      <x:c r="C11" s="143"/>
      <x:c r="D11" s="143"/>
      <x:c r="E11" s="143"/>
      <x:c r="F11" s="143"/>
      <x:c r="G11" s="153" t="str">
        <x:f>IF(OR(C11="",F11=""),"",F11-C11-D11+E11)</x:f>
      </x:c>
      <x:c r="H11" s="143"/>
      <x:c r="I11" s="153" t="str">
        <x:f>IF(G11="","",G11-H11)</x:f>
      </x:c>
      <x:c r="J11" s="155" t="str">
        <x:f>IFERROR(I11/(C11+D11-E11),"")</x:f>
      </x:c>
      <x:c r="K11" s="179"/>
      <x:c r="L11" s="113"/>
      <x:c r="M11" s="113"/>
      <x:c r="N11" s="113"/>
      <x:c r="O11" s="113"/>
    </x:row>
    <x:row r="12">
      <x:c r="A12" s="177"/>
      <x:c r="B12" s="113"/>
      <x:c r="C12" s="143"/>
      <x:c r="D12" s="143"/>
      <x:c r="E12" s="143"/>
      <x:c r="F12" s="143"/>
      <x:c r="G12" s="153" t="str">
        <x:f>IF(OR(C12="",F12=""),"",F12-C12-D12+E12)</x:f>
      </x:c>
      <x:c r="H12" s="143"/>
      <x:c r="I12" s="153" t="str">
        <x:f>IF(G12="","",G12-H12)</x:f>
      </x:c>
      <x:c r="J12" s="155" t="str">
        <x:f>IFERROR(I12/(C12+D12-E12),"")</x:f>
      </x:c>
      <x:c r="K12" s="179"/>
      <x:c r="L12" s="113"/>
      <x:c r="M12" s="113"/>
      <x:c r="N12" s="113"/>
      <x:c r="O12" s="113"/>
    </x:row>
    <x:row r="13">
      <x:c r="A13" s="177"/>
      <x:c r="B13" s="113"/>
      <x:c r="C13" s="143"/>
      <x:c r="D13" s="143"/>
      <x:c r="E13" s="143"/>
      <x:c r="F13" s="143"/>
      <x:c r="G13" s="153" t="str">
        <x:f>IF(OR(C13="",F13=""),"",F13-C13-D13+E13)</x:f>
      </x:c>
      <x:c r="H13" s="143"/>
      <x:c r="I13" s="153" t="str">
        <x:f>IF(G13="","",G13-H13)</x:f>
      </x:c>
      <x:c r="J13" s="155" t="str">
        <x:f>IFERROR(I13/(C13+D13-E13),"")</x:f>
      </x:c>
      <x:c r="K13" s="179"/>
      <x:c r="L13" s="113"/>
      <x:c r="M13" s="113"/>
      <x:c r="N13" s="113"/>
      <x:c r="O13" s="113"/>
    </x:row>
    <x:row r="14">
      <x:c r="A14" s="177"/>
      <x:c r="B14" s="113"/>
      <x:c r="C14" s="143"/>
      <x:c r="D14" s="143"/>
      <x:c r="E14" s="143"/>
      <x:c r="F14" s="143"/>
      <x:c r="G14" s="153" t="str">
        <x:f>IF(OR(C14="",F14=""),"",F14-C14-D14+E14)</x:f>
      </x:c>
      <x:c r="H14" s="143"/>
      <x:c r="I14" s="153" t="str">
        <x:f>IF(G14="","",G14-H14)</x:f>
      </x:c>
      <x:c r="J14" s="155" t="str">
        <x:f>IFERROR(I14/(C14+D14-E14),"")</x:f>
      </x:c>
      <x:c r="K14" s="179"/>
      <x:c r="L14" s="113"/>
      <x:c r="M14" s="113"/>
      <x:c r="N14" s="113"/>
      <x:c r="O14" s="113"/>
    </x:row>
    <x:row r="15">
      <x:c r="A15" s="177"/>
      <x:c r="B15" s="113"/>
      <x:c r="C15" s="143"/>
      <x:c r="D15" s="143"/>
      <x:c r="E15" s="143"/>
      <x:c r="F15" s="143"/>
      <x:c r="G15" s="153" t="str">
        <x:f>IF(OR(C15="",F15=""),"",F15-C15-D15+E15)</x:f>
      </x:c>
      <x:c r="H15" s="143"/>
      <x:c r="I15" s="153" t="str">
        <x:f>IF(G15="","",G15-H15)</x:f>
      </x:c>
      <x:c r="J15" s="155" t="str">
        <x:f>IFERROR(I15/(C15+D15-E15),"")</x:f>
      </x:c>
      <x:c r="K15" s="179"/>
      <x:c r="L15" s="113"/>
      <x:c r="M15" s="113"/>
      <x:c r="N15" s="113"/>
      <x:c r="O15" s="113"/>
    </x:row>
    <x:row r="16">
      <x:c r="A16" s="177"/>
      <x:c r="B16" s="113"/>
      <x:c r="C16" s="143"/>
      <x:c r="D16" s="143"/>
      <x:c r="E16" s="143"/>
      <x:c r="F16" s="143"/>
      <x:c r="G16" s="153" t="str">
        <x:f>IF(OR(C16="",F16=""),"",F16-C16-D16+E16)</x:f>
      </x:c>
      <x:c r="H16" s="143"/>
      <x:c r="I16" s="153" t="str">
        <x:f>IF(G16="","",G16-H16)</x:f>
      </x:c>
      <x:c r="J16" s="155" t="str">
        <x:f>IFERROR(I16/(C16+D16-E16),"")</x:f>
      </x:c>
      <x:c r="K16" s="179"/>
      <x:c r="L16" s="113"/>
      <x:c r="M16" s="113"/>
      <x:c r="N16" s="113"/>
      <x:c r="O16" s="113"/>
    </x:row>
    <x:row r="17">
      <x:c r="A17" s="177"/>
      <x:c r="B17" s="113"/>
      <x:c r="C17" s="143"/>
      <x:c r="D17" s="143"/>
      <x:c r="E17" s="143"/>
      <x:c r="F17" s="143"/>
      <x:c r="G17" s="153" t="str">
        <x:f>IF(OR(C17="",F17=""),"",F17-C17-D17+E17)</x:f>
      </x:c>
      <x:c r="H17" s="143"/>
      <x:c r="I17" s="153" t="str">
        <x:f>IF(G17="","",G17-H17)</x:f>
      </x:c>
      <x:c r="J17" s="155" t="str">
        <x:f>IFERROR(I17/(C17+D17-E17),"")</x:f>
      </x:c>
      <x:c r="K17" s="179"/>
      <x:c r="L17" s="113"/>
      <x:c r="M17" s="113"/>
      <x:c r="N17" s="113"/>
      <x:c r="O17" s="113"/>
    </x:row>
    <x:row r="18">
      <x:c r="A18" s="177"/>
      <x:c r="B18" s="113"/>
      <x:c r="C18" s="143"/>
      <x:c r="D18" s="143"/>
      <x:c r="E18" s="143"/>
      <x:c r="F18" s="143"/>
      <x:c r="G18" s="153" t="str">
        <x:f>IF(OR(C18="",F18=""),"",F18-C18-D18+E18)</x:f>
      </x:c>
      <x:c r="H18" s="143"/>
      <x:c r="I18" s="153" t="str">
        <x:f>IF(G18="","",G18-H18)</x:f>
      </x:c>
      <x:c r="J18" s="155" t="str">
        <x:f>IFERROR(I18/(C18+D18-E18),"")</x:f>
      </x:c>
      <x:c r="K18" s="179"/>
      <x:c r="L18" s="113"/>
      <x:c r="M18" s="113"/>
      <x:c r="N18" s="113"/>
      <x:c r="O18" s="113"/>
    </x:row>
    <x:row r="19">
      <x:c r="A19" s="177"/>
      <x:c r="B19" s="113"/>
      <x:c r="C19" s="143"/>
      <x:c r="D19" s="143"/>
      <x:c r="E19" s="143"/>
      <x:c r="F19" s="143"/>
      <x:c r="G19" s="153" t="str">
        <x:f>IF(OR(C19="",F19=""),"",F19-C19-D19+E19)</x:f>
      </x:c>
      <x:c r="H19" s="143"/>
      <x:c r="I19" s="153" t="str">
        <x:f>IF(G19="","",G19-H19)</x:f>
      </x:c>
      <x:c r="J19" s="155" t="str">
        <x:f>IFERROR(I19/(C19+D19-E19),"")</x:f>
      </x:c>
      <x:c r="K19" s="179"/>
      <x:c r="L19" s="113"/>
      <x:c r="M19" s="113"/>
      <x:c r="N19" s="113"/>
      <x:c r="O19" s="113"/>
    </x:row>
    <x:row r="20">
      <x:c r="A20" s="177"/>
      <x:c r="B20" s="113"/>
      <x:c r="C20" s="143"/>
      <x:c r="D20" s="143"/>
      <x:c r="E20" s="143"/>
      <x:c r="F20" s="143"/>
      <x:c r="G20" s="153" t="str">
        <x:f>IF(OR(C20="",F20=""),"",F20-C20-D20+E20)</x:f>
      </x:c>
      <x:c r="H20" s="143"/>
      <x:c r="I20" s="153" t="str">
        <x:f>IF(G20="","",G20-H20)</x:f>
      </x:c>
      <x:c r="J20" s="155" t="str">
        <x:f>IFERROR(I20/(C20+D20-E20),"")</x:f>
      </x:c>
      <x:c r="K20" s="179"/>
      <x:c r="L20" s="113"/>
      <x:c r="M20" s="113"/>
      <x:c r="N20" s="113"/>
      <x:c r="O20" s="113"/>
    </x:row>
    <x:row r="21">
      <x:c r="A21" s="177"/>
      <x:c r="B21" s="113"/>
      <x:c r="C21" s="143"/>
      <x:c r="D21" s="143"/>
      <x:c r="E21" s="143"/>
      <x:c r="F21" s="143"/>
      <x:c r="G21" s="153" t="str">
        <x:f>IF(OR(C21="",F21=""),"",F21-C21-D21+E21)</x:f>
      </x:c>
      <x:c r="H21" s="143"/>
      <x:c r="I21" s="153" t="str">
        <x:f>IF(G21="","",G21-H21)</x:f>
      </x:c>
      <x:c r="J21" s="155" t="str">
        <x:f>IFERROR(I21/(C21+D21-E21),"")</x:f>
      </x:c>
      <x:c r="K21" s="179"/>
      <x:c r="L21" s="113"/>
      <x:c r="M21" s="113"/>
      <x:c r="N21" s="113"/>
      <x:c r="O21" s="113"/>
    </x:row>
    <x:row r="22">
      <x:c r="A22" s="177"/>
      <x:c r="B22" s="113"/>
      <x:c r="C22" s="143"/>
      <x:c r="D22" s="143"/>
      <x:c r="E22" s="143"/>
      <x:c r="F22" s="143"/>
      <x:c r="G22" s="153" t="str">
        <x:f>IF(OR(C22="",F22=""),"",F22-C22-D22+E22)</x:f>
      </x:c>
      <x:c r="H22" s="143"/>
      <x:c r="I22" s="153" t="str">
        <x:f>IF(G22="","",G22-H22)</x:f>
      </x:c>
      <x:c r="J22" s="155" t="str">
        <x:f>IFERROR(I22/(C22+D22-E22),"")</x:f>
      </x:c>
      <x:c r="K22" s="179"/>
      <x:c r="L22" s="113"/>
      <x:c r="M22" s="113"/>
      <x:c r="N22" s="113"/>
      <x:c r="O22" s="113"/>
    </x:row>
    <x:row r="23">
      <x:c r="A23" s="177"/>
      <x:c r="B23" s="113"/>
      <x:c r="C23" s="143"/>
      <x:c r="D23" s="143"/>
      <x:c r="E23" s="143"/>
      <x:c r="F23" s="143"/>
      <x:c r="G23" s="153" t="str">
        <x:f>IF(OR(C23="",F23=""),"",F23-C23-D23+E23)</x:f>
      </x:c>
      <x:c r="H23" s="143"/>
      <x:c r="I23" s="153" t="str">
        <x:f>IF(G23="","",G23-H23)</x:f>
      </x:c>
      <x:c r="J23" s="155" t="str">
        <x:f>IFERROR(I23/(C23+D23-E23),"")</x:f>
      </x:c>
      <x:c r="K23" s="179"/>
      <x:c r="L23" s="113"/>
      <x:c r="M23" s="113"/>
      <x:c r="N23" s="113"/>
      <x:c r="O23" s="113"/>
    </x:row>
    <x:row r="24">
      <x:c r="A24" s="177"/>
      <x:c r="B24" s="113"/>
      <x:c r="C24" s="143"/>
      <x:c r="D24" s="143"/>
      <x:c r="E24" s="143"/>
      <x:c r="F24" s="143"/>
      <x:c r="G24" s="153" t="str">
        <x:f>IF(OR(C24="",F24=""),"",F24-C24-D24+E24)</x:f>
      </x:c>
      <x:c r="H24" s="143"/>
      <x:c r="I24" s="153" t="str">
        <x:f>IF(G24="","",G24-H24)</x:f>
      </x:c>
      <x:c r="J24" s="155" t="str">
        <x:f>IFERROR(I24/(C24+D24-E24),"")</x:f>
      </x:c>
      <x:c r="K24" s="179"/>
      <x:c r="L24" s="113"/>
      <x:c r="M24" s="113"/>
      <x:c r="N24" s="113"/>
      <x:c r="O24" s="113"/>
    </x:row>
    <x:row r="25">
      <x:c r="A25" s="177"/>
      <x:c r="B25" s="113"/>
      <x:c r="C25" s="143"/>
      <x:c r="D25" s="143"/>
      <x:c r="E25" s="143"/>
      <x:c r="F25" s="143"/>
      <x:c r="G25" s="153" t="str">
        <x:f>IF(OR(C25="",F25=""),"",F25-C25-D25+E25)</x:f>
      </x:c>
      <x:c r="H25" s="143"/>
      <x:c r="I25" s="153" t="str">
        <x:f>IF(G25="","",G25-H25)</x:f>
      </x:c>
      <x:c r="J25" s="155" t="str">
        <x:f>IFERROR(I25/(C25+D25-E25),"")</x:f>
      </x:c>
      <x:c r="K25" s="179"/>
      <x:c r="L25" s="113"/>
      <x:c r="M25" s="113"/>
      <x:c r="N25" s="113"/>
      <x:c r="O25" s="113"/>
    </x:row>
    <x:row r="26">
      <x:c r="A26" s="177"/>
      <x:c r="B26" s="113"/>
      <x:c r="C26" s="143"/>
      <x:c r="D26" s="143"/>
      <x:c r="E26" s="143"/>
      <x:c r="F26" s="143"/>
      <x:c r="G26" s="153" t="str">
        <x:f>IF(OR(C26="",F26=""),"",F26-C26-D26+E26)</x:f>
      </x:c>
      <x:c r="H26" s="143"/>
      <x:c r="I26" s="153" t="str">
        <x:f>IF(G26="","",G26-H26)</x:f>
      </x:c>
      <x:c r="J26" s="155" t="str">
        <x:f>IFERROR(I26/(C26+D26-E26),"")</x:f>
      </x:c>
      <x:c r="K26" s="179"/>
      <x:c r="L26" s="113"/>
      <x:c r="M26" s="113"/>
      <x:c r="N26" s="113"/>
      <x:c r="O26" s="113"/>
    </x:row>
    <x:row r="27">
      <x:c r="A27" s="177"/>
      <x:c r="B27" s="113"/>
      <x:c r="C27" s="143"/>
      <x:c r="D27" s="143"/>
      <x:c r="E27" s="143"/>
      <x:c r="F27" s="143"/>
      <x:c r="G27" s="153" t="str">
        <x:f>IF(OR(C27="",F27=""),"",F27-C27-D27+E27)</x:f>
      </x:c>
      <x:c r="H27" s="143"/>
      <x:c r="I27" s="153" t="str">
        <x:f>IF(G27="","",G27-H27)</x:f>
      </x:c>
      <x:c r="J27" s="155" t="str">
        <x:f>IFERROR(I27/(C27+D27-E27),"")</x:f>
      </x:c>
      <x:c r="K27" s="179"/>
      <x:c r="L27" s="113"/>
      <x:c r="M27" s="113"/>
      <x:c r="N27" s="113"/>
      <x:c r="O27" s="113"/>
    </x:row>
    <x:row r="28">
      <x:c r="A28" s="177"/>
      <x:c r="B28" s="113"/>
      <x:c r="C28" s="143"/>
      <x:c r="D28" s="143"/>
      <x:c r="E28" s="143"/>
      <x:c r="F28" s="143"/>
      <x:c r="G28" s="153" t="str">
        <x:f>IF(OR(C28="",F28=""),"",F28-C28-D28+E28)</x:f>
      </x:c>
      <x:c r="H28" s="143"/>
      <x:c r="I28" s="153" t="str">
        <x:f>IF(G28="","",G28-H28)</x:f>
      </x:c>
      <x:c r="J28" s="155" t="str">
        <x:f>IFERROR(I28/(C28+D28-E28),"")</x:f>
      </x:c>
      <x:c r="K28" s="179"/>
      <x:c r="L28" s="113"/>
      <x:c r="M28" s="113"/>
      <x:c r="N28" s="113"/>
      <x:c r="O28" s="113"/>
    </x:row>
    <x:row r="31" ht="22" customHeight="1">
      <x:c r="A31" s="158" t="str">
        <x:v>Monthly source costs (optional)</x:v>
      </x:c>
      <x:c r="B31" s="158"/>
      <x:c r="C31" s="158"/>
      <x:c r="D31" s="158"/>
    </x:row>
    <x:row r="32" ht="42" customHeight="1">
      <x:c r="A32" s="49" t="str">
        <x:v>Month</x:v>
      </x:c>
      <x:c r="B32" s="49" t="str">
        <x:v>Service</x:v>
      </x:c>
      <x:c r="C32" s="49" t="str">
        <x:v>Fee</x:v>
      </x:c>
      <x:c r="D32" s="49" t="str">
        <x:v>Notes</x:v>
      </x:c>
    </x:row>
    <x:row r="33">
      <x:c r="A33" s="177"/>
      <x:c r="B33" s="113"/>
      <x:c r="C33" s="143"/>
      <x:c r="D33" s="113"/>
    </x:row>
    <x:row r="34">
      <x:c r="A34" s="177"/>
      <x:c r="B34" s="113"/>
      <x:c r="C34" s="143"/>
      <x:c r="D34" s="113"/>
    </x:row>
    <x:row r="35">
      <x:c r="A35" s="177"/>
      <x:c r="B35" s="113"/>
      <x:c r="C35" s="143"/>
      <x:c r="D35" s="113"/>
    </x:row>
    <x:row r="36">
      <x:c r="A36" s="177"/>
      <x:c r="B36" s="113"/>
      <x:c r="C36" s="143"/>
      <x:c r="D36" s="113"/>
    </x:row>
    <x:row r="37">
      <x:c r="A37" s="177"/>
      <x:c r="B37" s="113"/>
      <x:c r="C37" s="143"/>
      <x:c r="D37" s="113"/>
    </x:row>
    <x:row r="38">
      <x:c r="A38" s="177"/>
      <x:c r="B38" s="113"/>
      <x:c r="C38" s="143"/>
      <x:c r="D38" s="113"/>
    </x:row>
    <x:row r="39">
      <x:c r="A39" s="177"/>
      <x:c r="B39" s="113"/>
      <x:c r="C39" s="143"/>
      <x:c r="D39" s="113"/>
    </x:row>
    <x:row r="40">
      <x:c r="A40" s="177"/>
      <x:c r="B40" s="113"/>
      <x:c r="C40" s="143"/>
      <x:c r="D40" s="113"/>
    </x:row>
    <x:row r="41">
      <x:c r="A41" s="177"/>
      <x:c r="B41" s="113"/>
      <x:c r="C41" s="143"/>
      <x:c r="D41" s="113"/>
    </x:row>
    <x:row r="42">
      <x:c r="A42" s="177"/>
      <x:c r="B42" s="113"/>
      <x:c r="C42" s="143"/>
      <x:c r="D42" s="113"/>
    </x:row>
    <x:row r="43">
      <x:c r="A43" s="177"/>
      <x:c r="B43" s="113"/>
      <x:c r="C43" s="143"/>
      <x:c r="D43" s="113"/>
    </x:row>
    <x:row r="44">
      <x:c r="A44" s="177"/>
      <x:c r="B44" s="113"/>
      <x:c r="C44" s="143"/>
      <x:c r="D44" s="113"/>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4" hidden="0" customWidth="1"/>
    <x:col min="2" max="2" width="42" hidden="0" customWidth="1"/>
    <x:col min="3" max="3" width="24" hidden="0" customWidth="1"/>
    <x:col min="4" max="4" width="42" hidden="0" customWidth="1"/>
    <x:col min="5" max="5" width="24" hidden="0" customWidth="1"/>
    <x:col min="6" max="6" width="36" hidden="0" customWidth="1"/>
    <x:col min="7" max="7" width="24" hidden="0" customWidth="1"/>
    <x:col min="8" max="8" width="38" hidden="0" customWidth="1"/>
  </x:cols>
  <x:sheetData>
    <x:row r="1" ht="28" customHeight="1">
      <x:c r="A1" s="4" t="str">
        <x:v>Setup, Source, and Allowed-Label Guide</x:v>
      </x:c>
      <x:c r="B1" s="4"/>
      <x:c r="C1" s="4"/>
      <x:c r="D1" s="4"/>
      <x:c r="E1" s="4"/>
      <x:c r="F1" s="4"/>
      <x:c r="G1" s="4"/>
      <x:c r="H1" s="4"/>
    </x:row>
    <x:row r="2">
      <x:c r="A2" s="10" t="str">
        <x:v>Use these exact labels in the journal so the Dashboard groups trades consistently.</x:v>
      </x:c>
      <x:c r="B2" s="10"/>
      <x:c r="C2" s="10"/>
      <x:c r="D2" s="10"/>
      <x:c r="E2" s="10"/>
      <x:c r="F2" s="10"/>
      <x:c r="G2" s="10"/>
      <x:c r="H2" s="10"/>
    </x:row>
    <x:row r="4" ht="22" customHeight="1">
      <x:c r="A4" s="16" t="str">
        <x:v>Source architecture</x:v>
      </x:c>
      <x:c r="B4" s="16"/>
      <x:c r="C4" s="16"/>
      <x:c r="D4" s="16"/>
      <x:c r="E4" s="16"/>
      <x:c r="F4" s="16"/>
      <x:c r="G4" s="16"/>
      <x:c r="H4" s="16"/>
    </x:row>
    <x:row r="5" ht="42" customHeight="1">
      <x:c r="A5" s="32" t="str">
        <x:v>Source</x:v>
      </x:c>
      <x:c r="B5" s="32" t="str">
        <x:v>Current Role</x:v>
      </x:c>
      <x:c r="C5" s="32" t="str">
        <x:v>Control Model</x:v>
      </x:c>
      <x:c r="D5" s="32" t="str">
        <x:v>Primary Breakdown</x:v>
      </x:c>
      <x:c r="E5" s="32" t="str">
        <x:v>Trade Authorization</x:v>
      </x:c>
    </x:row>
    <x:row r="6" ht="46" customHeight="1">
      <x:c r="A6" s="22" t="str">
        <x:v>Robinhood Social</x:v>
      </x:c>
      <x:c r="B6" s="22" t="str">
        <x:v>Creator supplies idea/thesis</x:v>
      </x:c>
      <x:c r="C6" s="22" t="str">
        <x:v>Self-Directed MTF</x:v>
      </x:c>
      <x:c r="D6" s="22" t="str">
        <x:v>sheklemaster, ballsycalls, michaelbfit, pharmgirl</x:v>
      </x:c>
      <x:c r="E6" s="22" t="str">
        <x:v>Your MTF setup, trigger, stop, target, and risk</x:v>
      </x:c>
    </x:row>
    <x:row r="7" ht="46" customHeight="1">
      <x:c r="A7" s="22" t="str">
        <x:v>Simply Wall St</x:v>
      </x:c>
      <x:c r="B7" s="22" t="str">
        <x:v>Valuation/fundamental candidate</x:v>
      </x:c>
      <x:c r="C7" s="22" t="str">
        <x:v>Self-Directed MTF</x:v>
      </x:c>
      <x:c r="D7" s="22" t="str">
        <x:v>Email, Investing Ideas, undervalued/overvalued</x:v>
      </x:c>
      <x:c r="E7" s="22" t="str">
        <x:v>Your MTF setup and risk plan</x:v>
      </x:c>
    </x:row>
    <x:row r="8" ht="46" customHeight="1">
      <x:c r="A8" s="22" t="str">
        <x:v>Tickeron</x:v>
      </x:c>
      <x:c r="B8" s="22" t="str">
        <x:v>Provider supplies signal and exit</x:v>
      </x:c>
      <x:c r="C8" s="22" t="str">
        <x:v>Provider-Directed</x:v>
      </x:c>
      <x:c r="D8" s="22" t="str">
        <x:v>Healthcare/Biotech Bot, Ticker Alerts, AI Trend Prediction, AI Patterns</x:v>
      </x:c>
      <x:c r="E8" s="22" t="str">
        <x:v>Tickeron entry range, stop/target, and exit</x:v>
      </x:c>
    </x:row>
    <x:row r="9" ht="46" customHeight="1">
      <x:c r="A9" s="22" t="str">
        <x:v>Moomoo</x:v>
      </x:c>
      <x:c r="B9" s="22" t="str">
        <x:v>Exploratory candidate generation</x:v>
      </x:c>
      <x:c r="C9" s="22" t="str">
        <x:v>Self-Directed MTF</x:v>
      </x:c>
      <x:c r="D9" s="22" t="str">
        <x:v>AI News Alerts; Fundamental, Options, Technical Engines</x:v>
      </x:c>
      <x:c r="E9" s="22" t="str">
        <x:v>Your MTF setup and risk plan</x:v>
      </x:c>
    </x:row>
    <x:row r="10" ht="46" customHeight="1">
      <x:c r="A10" s="22" t="str">
        <x:v>Own Research</x:v>
      </x:c>
      <x:c r="B10" s="22" t="str">
        <x:v>You generate the idea</x:v>
      </x:c>
      <x:c r="C10" s="22" t="str">
        <x:v>Self-Directed MTF</x:v>
      </x:c>
      <x:c r="D10" s="22" t="str">
        <x:v>Direct chart/research work</x:v>
      </x:c>
      <x:c r="E10" s="22" t="str">
        <x:v>Your MTF setup and risk plan</x:v>
      </x:c>
    </x:row>
    <x:row r="12" ht="22" customHeight="1">
      <x:c r="A12" s="158" t="str">
        <x:v>Strategy / setup catalog</x:v>
      </x:c>
      <x:c r="B12" s="158"/>
      <x:c r="C12" s="158"/>
      <x:c r="D12" s="158"/>
      <x:c r="E12" s="158"/>
      <x:c r="F12" s="164" t="str">
        <x:v>MTF technical process</x:v>
      </x:c>
      <x:c r="G12" s="164"/>
      <x:c r="H12" s="164"/>
    </x:row>
    <x:row r="13" ht="42" customHeight="1">
      <x:c r="A13" s="49" t="str">
        <x:v>Setup</x:v>
      </x:c>
      <x:c r="B13" s="49" t="str">
        <x:v>Status</x:v>
      </x:c>
      <x:c r="C13" s="49" t="str">
        <x:v>Core Definition</x:v>
      </x:c>
      <x:c r="D13" s="49" t="str">
        <x:v>Current Use</x:v>
      </x:c>
      <x:c r="F13" s="99" t="str">
        <x:v>Layer</x:v>
      </x:c>
      <x:c r="G13" s="99" t="str">
        <x:v>Configuration</x:v>
      </x:c>
      <x:c r="H13" s="99" t="str">
        <x:v>Purpose</x:v>
      </x:c>
    </x:row>
    <x:row r="14" ht="40" customHeight="1">
      <x:c r="A14" s="22" t="str">
        <x:v>Support Bounce</x:v>
      </x:c>
      <x:c r="B14" s="22" t="str">
        <x:v>Active - Testing</x:v>
      </x:c>
      <x:c r="C14" s="22" t="str">
        <x:v>Price holds an established support area and turns upward.</x:v>
      </x:c>
      <x:c r="D14" s="22" t="str">
        <x:v>Eligible when support, trigger, invalidation, and target are documented.</x:v>
      </x:c>
      <x:c r="F14" s="22" t="str">
        <x:v>Larger structure</x:v>
      </x:c>
      <x:c r="G14" s="22" t="str">
        <x:v>1-year / weekly candles</x:v>
      </x:c>
      <x:c r="H14" s="22" t="str">
        <x:v>Trend and major support/resistance</x:v>
      </x:c>
    </x:row>
    <x:row r="15" ht="40" customHeight="1">
      <x:c r="A15" s="22" t="str">
        <x:v>Support Reclaim</x:v>
      </x:c>
      <x:c r="B15" s="22" t="str">
        <x:v>Candidate</x:v>
      </x:c>
      <x:c r="C15" s="22" t="str">
        <x:v>Price loses a level, then recovers and holds it.</x:v>
      </x:c>
      <x:c r="D15" s="22" t="str">
        <x:v>Track separately from a bounce.</x:v>
      </x:c>
      <x:c r="F15" s="22" t="str">
        <x:v>Current setup</x:v>
      </x:c>
      <x:c r="G15" s="22" t="str">
        <x:v>6- and 3-month / daily candles</x:v>
      </x:c>
      <x:c r="H15" s="22" t="str">
        <x:v>Setup, price zone, 9/20/200 SMA, RSI</x:v>
      </x:c>
    </x:row>
    <x:row r="16" ht="40" customHeight="1">
      <x:c r="A16" s="22" t="str">
        <x:v>Breakout</x:v>
      </x:c>
      <x:c r="B16" s="22" t="str">
        <x:v>Candidate</x:v>
      </x:c>
      <x:c r="C16" s="22" t="str">
        <x:v>Price moves above defined resistance.</x:v>
      </x:c>
      <x:c r="D16" s="22" t="str">
        <x:v>Record intrabar, close, or retest confirmation.</x:v>
      </x:c>
      <x:c r="F16" s="22" t="str">
        <x:v>Entry timing</x:v>
      </x:c>
      <x:c r="G16" s="22" t="str">
        <x:v>Under 1 month / 4-hour candles</x:v>
      </x:c>
      <x:c r="H16" s="22" t="str">
        <x:v>Exact trigger and near-term levels</x:v>
      </x:c>
    </x:row>
    <x:row r="17" ht="40" customHeight="1">
      <x:c r="A17" s="22" t="str">
        <x:v>Pullback in Uptrend</x:v>
      </x:c>
      <x:c r="B17" s="22" t="str">
        <x:v>Candidate</x:v>
      </x:c>
      <x:c r="C17" s="22" t="str">
        <x:v>Price retraces within a larger uptrend, then resumes upward.</x:v>
      </x:c>
      <x:c r="D17" s="22" t="str">
        <x:v>Needs trend and pullback rules.</x:v>
      </x:c>
      <x:c r="F17" s="22" t="str">
        <x:v>RSI</x:v>
      </x:c>
      <x:c r="G17" s="22" t="str">
        <x:v>RSI(14); 20 oversold, 80 overbought</x:v>
      </x:c>
      <x:c r="H17" s="22" t="str">
        <x:v>Research tag until rules are proven</x:v>
      </x:c>
    </x:row>
    <x:row r="18" ht="40" customHeight="1">
      <x:c r="A18" s="22" t="str">
        <x:v>Momentum Continuation</x:v>
      </x:c>
      <x:c r="B18" s="22" t="str">
        <x:v>Candidate</x:v>
      </x:c>
      <x:c r="C18" s="22" t="str">
        <x:v>Existing directional move resumes after consolidation.</x:v>
      </x:c>
      <x:c r="D18" s="22" t="str">
        <x:v>Needs anti-chasing rules.</x:v>
      </x:c>
      <x:c r="F18" s="22" t="str">
        <x:v>MACD</x:v>
      </x:c>
      <x:c r="G18" s="22" t="str">
        <x:v>Record observable state only</x:v>
      </x:c>
      <x:c r="H18" s="22" t="str">
        <x:v>No checklist score or veto yet</x:v>
      </x:c>
    </x:row>
    <x:row r="19" ht="40" customHeight="1">
      <x:c r="A19" s="22" t="str">
        <x:v>Oversold Reversal</x:v>
      </x:c>
      <x:c r="B19" s="22" t="str">
        <x:v>Experimental</x:v>
      </x:c>
      <x:c r="C19" s="22" t="str">
        <x:v>RSI(14) reaches 20 or below and price confirms reversal.</x:v>
      </x:c>
      <x:c r="D19" s="22" t="str">
        <x:v>Reduced-risk or paper testing until refined.</x:v>
      </x:c>
      <x:c r="F19" s="22" t="str">
        <x:v>Context</x:v>
      </x:c>
      <x:c r="G19" s="22" t="str">
        <x:v>Short-interest trend and analyst ratings</x:v>
      </x:c>
      <x:c r="H19" s="22" t="str">
        <x:v>Track influence; do not assume predictive value</x:v>
      </x:c>
    </x:row>
    <x:row r="20" ht="44" customHeight="1">
      <x:c r="A20" s="22" t="str">
        <x:v>Overbought Reversal</x:v>
      </x:c>
      <x:c r="B20" s="22" t="str">
        <x:v>Experimental</x:v>
      </x:c>
      <x:c r="C20" s="22" t="str">
        <x:v>RSI(14) reaches 80 or above and a bearish/exit use is defined.</x:v>
      </x:c>
      <x:c r="D20" s="22" t="str">
        <x:v>Track bearish entry, long exit, and avoid-long separately.</x:v>
      </x:c>
    </x:row>
    <x:row r="21" ht="44" customHeight="1">
      <x:c r="A21" s="22" t="str">
        <x:v>Tickeron Signal-Following</x:v>
      </x:c>
      <x:c r="B21" s="22" t="str">
        <x:v>Active - Testing</x:v>
      </x:c>
      <x:c r="C21" s="22" t="str">
        <x:v>Take provider signal within range and follow provider stop/target/exit.</x:v>
      </x:c>
      <x:c r="D21" s="22" t="str">
        <x:v>Track capture rate, slippage, and deviations.</x:v>
      </x:c>
    </x:row>
    <x:row r="23" ht="22" customHeight="1">
      <x:c r="A23" s="182" t="str">
        <x:v>Allowed labels</x:v>
      </x:c>
      <x:c r="B23" s="182"/>
      <x:c r="C23" s="182"/>
      <x:c r="D23" s="182"/>
      <x:c r="E23" s="182"/>
      <x:c r="F23" s="182"/>
      <x:c r="G23" s="182"/>
      <x:c r="H23" s="182"/>
    </x:row>
    <x:row r="24" ht="42" customHeight="1">
      <x:c r="A24" s="89" t="str">
        <x:v>Field</x:v>
      </x:c>
      <x:c r="B24" s="89" t="str">
        <x:v>Allowed values</x:v>
      </x:c>
      <x:c r="C24" s="89" t="str">
        <x:v>Field</x:v>
      </x:c>
      <x:c r="D24" s="89" t="str">
        <x:v>Allowed values</x:v>
      </x:c>
      <x:c r="E24" s="89" t="str">
        <x:v>Field</x:v>
      </x:c>
      <x:c r="F24" s="89" t="str">
        <x:v>Allowed values</x:v>
      </x:c>
      <x:c r="G24" s="89" t="str">
        <x:v>Field</x:v>
      </x:c>
      <x:c r="H24" s="89" t="str">
        <x:v>Allowed values</x:v>
      </x:c>
    </x:row>
    <x:row r="25" ht="58" customHeight="1">
      <x:c r="A25" s="22" t="str">
        <x:v>Status</x:v>
      </x:c>
      <x:c r="B25" s="22" t="str">
        <x:v>Planned; Open; Reduced; Closed; Canceled</x:v>
      </x:c>
      <x:c r="C25" s="22" t="str">
        <x:v>Instrument</x:v>
      </x:c>
      <x:c r="D25" s="22" t="str">
        <x:v>Stock; ETF; Call; Put; Spread; Other</x:v>
      </x:c>
      <x:c r="E25" s="22" t="str">
        <x:v>Direction</x:v>
      </x:c>
      <x:c r="F25" s="22" t="str">
        <x:v>Long; Bearish</x:v>
      </x:c>
      <x:c r="G25" s="22" t="str">
        <x:v>Control Model</x:v>
      </x:c>
      <x:c r="H25" s="22" t="str">
        <x:v>Self-Directed MTF; Provider-Directed</x:v>
      </x:c>
    </x:row>
    <x:row r="26" ht="58" customHeight="1">
      <x:c r="A26" s="22" t="str">
        <x:v>Entry Confirmation</x:v>
      </x:c>
      <x:c r="B26" s="22" t="str">
        <x:v>Intrabar Break; 4H Close; Daily Close; Retest / Hold; Provider Entry Range; Other</x:v>
      </x:c>
      <x:c r="C26" s="22" t="str">
        <x:v>Risk Tier</x:v>
      </x:c>
      <x:c r="D26" s="22" t="str">
        <x:v>Reduced (0.10%-0.15%); Default (0.20%); Elevated (0.21%-0.30%)</x:v>
      </x:c>
      <x:c r="E26" s="22" t="str">
        <x:v>Event Risk</x:v>
      </x:c>
      <x:c r="F26" s="22" t="str">
        <x:v>None; Earnings; FDA / Regulatory; Macro; Product / Launch; Other</x:v>
      </x:c>
      <x:c r="G26" s="22" t="str">
        <x:v>Review Cadence</x:v>
      </x:c>
      <x:c r="H26" s="22" t="str">
        <x:v>Daily; Weekly; After Event; Provider-Driven; Other</x:v>
      </x:c>
    </x:row>
    <x:row r="27" ht="58" customHeight="1">
      <x:c r="A27" s="22" t="str">
        <x:v>Exit Reason</x:v>
      </x:c>
      <x:c r="B27" s="22" t="str">
        <x:v>Stop / Invalidation; Target; Provider Exit; Time Stop; Thesis Break; Manual Early Exit; Other</x:v>
      </x:c>
      <x:c r="C27" s="22" t="str">
        <x:v>Rule Adherence</x:v>
      </x:c>
      <x:c r="D27" s="22" t="str">
        <x:v>Full; Minor Deviation; Major Deviation</x:v>
      </x:c>
      <x:c r="E27" s="22" t="str">
        <x:v>Diagnosis</x:v>
      </x:c>
      <x:c r="F27" s="22" t="str">
        <x:v>Setup Failure; Source Thesis Failure; Execution Issue; Event / Gap; Normal Loss / Rules Followed; Unclear; Other</x:v>
      </x:c>
      <x:c r="G27" s="22" t="str">
        <x:v>Weekly Trend</x:v>
      </x:c>
      <x:c r="H27" s="22" t="str">
        <x:v>Uptrend; Sideways; Downtrend; Not Reviewed</x:v>
      </x:c>
    </x:row>
    <x:row r="28" ht="58" customHeight="1">
      <x:c r="A28" s="22" t="str">
        <x:v>Candidate Status</x:v>
      </x:c>
      <x:c r="B28" s="22" t="str">
        <x:v>Taken - Within Range; Watchlist; Rejected - Technical; Rejected - Analyst Ratings; Rejected - Risk/Reward; Missed - Late / Out of Range; Skipped - Risk Capacity; Skipped - Operational; Discretionary Skip; Canceled</x:v>
      </x:c>
      <x:c r="C28" s="22" t="str">
        <x:v>MTF Observation</x:v>
      </x:c>
      <x:c r="D28" s="22" t="str">
        <x:v>Favorable; Mixed; Unfavorable; Not Reviewed</x:v>
      </x:c>
      <x:c r="E28" s="22" t="str">
        <x:v>Analyst Influence</x:v>
      </x:c>
      <x:c r="F28" s="22" t="str">
        <x:v>Supportive; No Effect; Concern; Veto; Not Reviewed</x:v>
      </x:c>
      <x:c r="G28" s="22" t="str">
        <x:v>Short Interest Trend</x:v>
      </x:c>
      <x:c r="H28" s="22" t="str">
        <x:v>Rising; Flat; Falling; Not Reviewed</x:v>
      </x:c>
    </x:row>
    <x:row r="29" ht="58" customHeight="1">
      <x:c r="A29" s="22"/>
      <x:c r="B29" s="22"/>
      <x:c r="C29" s="22"/>
      <x:c r="D29" s="22"/>
      <x:c r="E29" s="22"/>
      <x:c r="F29" s="22"/>
      <x:c r="G29" s="22"/>
      <x:c r="H29" s="22"/>
    </x:row>
    <x:row r="30" ht="58" customHeight="1">
      <x:c r="A30" s="22"/>
      <x:c r="B30" s="22"/>
      <x:c r="C30" s="22"/>
      <x:c r="D30" s="22"/>
      <x:c r="E30" s="22"/>
      <x:c r="F30" s="22"/>
      <x:c r="G30" s="22"/>
      <x:c r="H30" s="22"/>
    </x:row>
    <x:row r="31" ht="58" customHeight="1">
      <x:c r="A31" s="22"/>
      <x:c r="B31" s="22"/>
      <x:c r="C31" s="22"/>
      <x:c r="D31" s="22"/>
      <x:c r="E31" s="22"/>
      <x:c r="F31" s="22"/>
      <x:c r="G31" s="22"/>
      <x:c r="H31" s="22"/>
    </x:row>
    <x:row r="32" ht="58" customHeight="1">
      <x:c r="A32" s="22"/>
      <x:c r="B32" s="22"/>
      <x:c r="C32" s="22"/>
      <x:c r="D32" s="22"/>
      <x:c r="E32" s="22"/>
      <x:c r="F32" s="22"/>
      <x:c r="G32" s="22"/>
      <x:c r="H32" s="22"/>
    </x:row>
    <x:row r="33" ht="58" customHeight="1">
      <x:c r="A33" s="22"/>
      <x:c r="B33" s="22"/>
      <x:c r="C33" s="22"/>
      <x:c r="D33" s="22"/>
      <x:c r="E33" s="22"/>
      <x:c r="F33" s="22"/>
      <x:c r="G33" s="22"/>
      <x:c r="H33" s="22"/>
    </x:row>
    <x:row r="34" ht="58" customHeight="1">
      <x:c r="A34" s="22"/>
      <x:c r="B34" s="22"/>
      <x:c r="C34" s="22"/>
      <x:c r="D34" s="22"/>
      <x:c r="E34" s="22"/>
      <x:c r="F34" s="22"/>
      <x:c r="G34" s="22"/>
      <x:c r="H34" s="22"/>
    </x:row>
    <x:row r="35" ht="58" customHeight="1">
      <x:c r="A35" s="22"/>
      <x:c r="B35" s="22"/>
      <x:c r="C35" s="22"/>
      <x:c r="D35" s="22"/>
      <x:c r="E35" s="22"/>
      <x:c r="F35" s="22"/>
      <x:c r="G35" s="22"/>
      <x:c r="H35" s="22"/>
    </x:row>
    <x:row r="37" ht="22" customHeight="1">
      <x:c r="A37" s="67" t="str">
        <x:v>Pilot interpretation</x:v>
      </x:c>
      <x:c r="B37" s="67"/>
      <x:c r="C37" s="67"/>
      <x:c r="D37" s="67"/>
      <x:c r="E37" s="67"/>
      <x:c r="F37" s="67"/>
      <x:c r="G37" s="67"/>
      <x:c r="H37" s="67"/>
    </x:row>
    <x:row r="38">
      <x:c r="A38" s="72" t="str">
        <x:v>After five trades: assess usability only. After ten closed trades: activate a preliminary performance review. Do not declare a strategy effective or ineffective from a handful of outcomes. Separate strategy failure from execution failure.</x:v>
      </x:c>
      <x:c r="B38" s="72"/>
      <x:c r="C38" s="72"/>
      <x:c r="D38" s="72"/>
      <x:c r="E38" s="72"/>
      <x:c r="F38" s="72"/>
      <x:c r="G38" s="72"/>
      <x:c r="H38" s="72"/>
    </x:row>
    <x:row r="39">
      <x:c r="A39" s="72"/>
      <x:c r="B39" s="72"/>
      <x:c r="C39" s="72"/>
      <x:c r="D39" s="72"/>
      <x:c r="E39" s="72"/>
      <x:c r="F39" s="72"/>
      <x:c r="G39" s="72"/>
      <x:c r="H39" s="72"/>
    </x:row>
    <x:row r="40">
      <x:c r="A40" s="72"/>
      <x:c r="B40" s="72"/>
      <x:c r="C40" s="72"/>
      <x:c r="D40" s="72"/>
      <x:c r="E40" s="72"/>
      <x:c r="F40" s="72"/>
      <x:c r="G40" s="72"/>
      <x:c r="H40" s="72"/>
    </x:row>
  </x:sheetData>
  <x:pageMargins left="0.7" right="0.7" top="0.75" bottom="0.75" header="0.3" footer="0.3"/>
</x:worksheet>
</file>