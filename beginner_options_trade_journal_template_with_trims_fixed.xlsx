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site.wellpoint.com/personal/af61374_ad_wellpoint_com/Documents/Desktop/"/>
    </mc:Choice>
  </mc:AlternateContent>
  <xr:revisionPtr revIDLastSave="0" documentId="8_{D92F4636-0BF1-4074-98D4-8C91FDF8BB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de Log" sheetId="1" r:id="rId1"/>
    <sheet name="Exit Log" sheetId="2" r:id="rId2"/>
    <sheet name="Setup Review" sheetId="3" r:id="rId3"/>
    <sheet name="Rules &amp; Lessons" sheetId="4" r:id="rId4"/>
    <sheet name="Setup Tags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G9" i="2"/>
  <c r="D9" i="2"/>
  <c r="B9" i="2"/>
  <c r="H8" i="2"/>
  <c r="G8" i="2"/>
  <c r="D8" i="2"/>
  <c r="B8" i="2"/>
  <c r="H7" i="2"/>
  <c r="G7" i="2"/>
  <c r="D7" i="2"/>
  <c r="B7" i="2"/>
  <c r="H6" i="2"/>
  <c r="G6" i="2"/>
  <c r="D6" i="2"/>
  <c r="B6" i="2"/>
  <c r="H5" i="2"/>
  <c r="G5" i="2"/>
  <c r="D5" i="2"/>
  <c r="B5" i="2"/>
  <c r="L5" i="1"/>
  <c r="C5" i="1"/>
  <c r="E37" i="3"/>
  <c r="D37" i="3"/>
  <c r="C37" i="3"/>
  <c r="F37" i="3" s="1"/>
  <c r="B37" i="3"/>
  <c r="B36" i="3"/>
  <c r="L31" i="3"/>
  <c r="K31" i="3"/>
  <c r="J31" i="3"/>
  <c r="M31" i="3" s="1"/>
  <c r="I31" i="3"/>
  <c r="L30" i="3"/>
  <c r="K30" i="3"/>
  <c r="J30" i="3"/>
  <c r="M30" i="3" s="1"/>
  <c r="I30" i="3"/>
  <c r="L29" i="3"/>
  <c r="K29" i="3"/>
  <c r="J29" i="3"/>
  <c r="M29" i="3" s="1"/>
  <c r="I29" i="3"/>
  <c r="I28" i="3"/>
  <c r="I27" i="3"/>
  <c r="F22" i="3"/>
  <c r="E22" i="3"/>
  <c r="D22" i="3"/>
  <c r="C22" i="3"/>
  <c r="G22" i="3" s="1"/>
  <c r="B22" i="3"/>
  <c r="F21" i="3"/>
  <c r="E21" i="3"/>
  <c r="D21" i="3"/>
  <c r="C21" i="3"/>
  <c r="G21" i="3" s="1"/>
  <c r="B21" i="3"/>
  <c r="F20" i="3"/>
  <c r="E20" i="3"/>
  <c r="D20" i="3"/>
  <c r="C20" i="3"/>
  <c r="G20" i="3" s="1"/>
  <c r="B20" i="3"/>
  <c r="F19" i="3"/>
  <c r="E19" i="3"/>
  <c r="D19" i="3"/>
  <c r="C19" i="3"/>
  <c r="G19" i="3" s="1"/>
  <c r="B19" i="3"/>
  <c r="B18" i="3"/>
  <c r="F17" i="3"/>
  <c r="E17" i="3"/>
  <c r="D17" i="3"/>
  <c r="C17" i="3"/>
  <c r="G17" i="3" s="1"/>
  <c r="B17" i="3"/>
  <c r="B16" i="3"/>
  <c r="G15" i="3"/>
  <c r="F15" i="3"/>
  <c r="E15" i="3"/>
  <c r="D15" i="3"/>
  <c r="C15" i="3"/>
  <c r="B15" i="3"/>
  <c r="F14" i="3"/>
  <c r="E14" i="3"/>
  <c r="D14" i="3"/>
  <c r="C14" i="3"/>
  <c r="G14" i="3" s="1"/>
  <c r="B14" i="3"/>
  <c r="E6" i="3"/>
  <c r="E10" i="3" s="1"/>
  <c r="E5" i="3"/>
  <c r="B5" i="3"/>
  <c r="P304" i="2"/>
  <c r="Q304" i="2" s="1"/>
  <c r="O304" i="2"/>
  <c r="N304" i="2"/>
  <c r="H304" i="2"/>
  <c r="G304" i="2"/>
  <c r="D304" i="2"/>
  <c r="B304" i="2"/>
  <c r="P303" i="2"/>
  <c r="Q303" i="2" s="1"/>
  <c r="O303" i="2"/>
  <c r="N303" i="2"/>
  <c r="H303" i="2"/>
  <c r="G303" i="2"/>
  <c r="D303" i="2"/>
  <c r="B303" i="2"/>
  <c r="P302" i="2"/>
  <c r="Q302" i="2" s="1"/>
  <c r="O302" i="2"/>
  <c r="N302" i="2"/>
  <c r="H302" i="2"/>
  <c r="G302" i="2"/>
  <c r="D302" i="2"/>
  <c r="B302" i="2"/>
  <c r="P301" i="2"/>
  <c r="Q301" i="2" s="1"/>
  <c r="O301" i="2"/>
  <c r="N301" i="2"/>
  <c r="H301" i="2"/>
  <c r="G301" i="2"/>
  <c r="D301" i="2"/>
  <c r="B301" i="2"/>
  <c r="P300" i="2"/>
  <c r="Q300" i="2" s="1"/>
  <c r="O300" i="2"/>
  <c r="N300" i="2"/>
  <c r="H300" i="2"/>
  <c r="G300" i="2"/>
  <c r="D300" i="2"/>
  <c r="B300" i="2"/>
  <c r="P299" i="2"/>
  <c r="Q299" i="2" s="1"/>
  <c r="O299" i="2"/>
  <c r="N299" i="2"/>
  <c r="H299" i="2"/>
  <c r="G299" i="2"/>
  <c r="D299" i="2"/>
  <c r="B299" i="2"/>
  <c r="P298" i="2"/>
  <c r="Q298" i="2" s="1"/>
  <c r="O298" i="2"/>
  <c r="N298" i="2"/>
  <c r="H298" i="2"/>
  <c r="G298" i="2"/>
  <c r="D298" i="2"/>
  <c r="B298" i="2"/>
  <c r="P297" i="2"/>
  <c r="Q297" i="2" s="1"/>
  <c r="O297" i="2"/>
  <c r="N297" i="2"/>
  <c r="H297" i="2"/>
  <c r="G297" i="2"/>
  <c r="D297" i="2"/>
  <c r="B297" i="2"/>
  <c r="P296" i="2"/>
  <c r="Q296" i="2" s="1"/>
  <c r="O296" i="2"/>
  <c r="N296" i="2"/>
  <c r="H296" i="2"/>
  <c r="G296" i="2"/>
  <c r="D296" i="2"/>
  <c r="B296" i="2"/>
  <c r="P295" i="2"/>
  <c r="Q295" i="2" s="1"/>
  <c r="O295" i="2"/>
  <c r="N295" i="2"/>
  <c r="H295" i="2"/>
  <c r="G295" i="2"/>
  <c r="D295" i="2"/>
  <c r="B295" i="2"/>
  <c r="P294" i="2"/>
  <c r="Q294" i="2" s="1"/>
  <c r="O294" i="2"/>
  <c r="N294" i="2"/>
  <c r="H294" i="2"/>
  <c r="G294" i="2"/>
  <c r="D294" i="2"/>
  <c r="B294" i="2"/>
  <c r="P293" i="2"/>
  <c r="Q293" i="2" s="1"/>
  <c r="O293" i="2"/>
  <c r="N293" i="2"/>
  <c r="H293" i="2"/>
  <c r="G293" i="2"/>
  <c r="D293" i="2"/>
  <c r="B293" i="2"/>
  <c r="P292" i="2"/>
  <c r="Q292" i="2" s="1"/>
  <c r="O292" i="2"/>
  <c r="N292" i="2"/>
  <c r="H292" i="2"/>
  <c r="G292" i="2"/>
  <c r="D292" i="2"/>
  <c r="B292" i="2"/>
  <c r="P291" i="2"/>
  <c r="Q291" i="2" s="1"/>
  <c r="O291" i="2"/>
  <c r="N291" i="2"/>
  <c r="H291" i="2"/>
  <c r="G291" i="2"/>
  <c r="D291" i="2"/>
  <c r="B291" i="2"/>
  <c r="P290" i="2"/>
  <c r="Q290" i="2" s="1"/>
  <c r="O290" i="2"/>
  <c r="N290" i="2"/>
  <c r="H290" i="2"/>
  <c r="G290" i="2"/>
  <c r="D290" i="2"/>
  <c r="B290" i="2"/>
  <c r="P289" i="2"/>
  <c r="Q289" i="2" s="1"/>
  <c r="O289" i="2"/>
  <c r="N289" i="2"/>
  <c r="H289" i="2"/>
  <c r="G289" i="2"/>
  <c r="D289" i="2"/>
  <c r="B289" i="2"/>
  <c r="P288" i="2"/>
  <c r="Q288" i="2" s="1"/>
  <c r="O288" i="2"/>
  <c r="N288" i="2"/>
  <c r="H288" i="2"/>
  <c r="G288" i="2"/>
  <c r="D288" i="2"/>
  <c r="B288" i="2"/>
  <c r="P287" i="2"/>
  <c r="Q287" i="2" s="1"/>
  <c r="O287" i="2"/>
  <c r="N287" i="2"/>
  <c r="H287" i="2"/>
  <c r="G287" i="2"/>
  <c r="D287" i="2"/>
  <c r="B287" i="2"/>
  <c r="P286" i="2"/>
  <c r="Q286" i="2" s="1"/>
  <c r="O286" i="2"/>
  <c r="N286" i="2"/>
  <c r="H286" i="2"/>
  <c r="G286" i="2"/>
  <c r="D286" i="2"/>
  <c r="B286" i="2"/>
  <c r="P285" i="2"/>
  <c r="Q285" i="2" s="1"/>
  <c r="O285" i="2"/>
  <c r="N285" i="2"/>
  <c r="H285" i="2"/>
  <c r="G285" i="2"/>
  <c r="D285" i="2"/>
  <c r="B285" i="2"/>
  <c r="P284" i="2"/>
  <c r="Q284" i="2" s="1"/>
  <c r="O284" i="2"/>
  <c r="N284" i="2"/>
  <c r="H284" i="2"/>
  <c r="G284" i="2"/>
  <c r="D284" i="2"/>
  <c r="B284" i="2"/>
  <c r="P283" i="2"/>
  <c r="Q283" i="2" s="1"/>
  <c r="O283" i="2"/>
  <c r="N283" i="2"/>
  <c r="H283" i="2"/>
  <c r="G283" i="2"/>
  <c r="D283" i="2"/>
  <c r="B283" i="2"/>
  <c r="P282" i="2"/>
  <c r="Q282" i="2" s="1"/>
  <c r="O282" i="2"/>
  <c r="N282" i="2"/>
  <c r="H282" i="2"/>
  <c r="G282" i="2"/>
  <c r="D282" i="2"/>
  <c r="B282" i="2"/>
  <c r="P281" i="2"/>
  <c r="Q281" i="2" s="1"/>
  <c r="O281" i="2"/>
  <c r="N281" i="2"/>
  <c r="H281" i="2"/>
  <c r="G281" i="2"/>
  <c r="D281" i="2"/>
  <c r="B281" i="2"/>
  <c r="P280" i="2"/>
  <c r="Q280" i="2" s="1"/>
  <c r="O280" i="2"/>
  <c r="N280" i="2"/>
  <c r="H280" i="2"/>
  <c r="G280" i="2"/>
  <c r="D280" i="2"/>
  <c r="B280" i="2"/>
  <c r="P279" i="2"/>
  <c r="Q279" i="2" s="1"/>
  <c r="O279" i="2"/>
  <c r="N279" i="2"/>
  <c r="H279" i="2"/>
  <c r="G279" i="2"/>
  <c r="D279" i="2"/>
  <c r="B279" i="2"/>
  <c r="P278" i="2"/>
  <c r="Q278" i="2" s="1"/>
  <c r="O278" i="2"/>
  <c r="N278" i="2"/>
  <c r="H278" i="2"/>
  <c r="G278" i="2"/>
  <c r="D278" i="2"/>
  <c r="B278" i="2"/>
  <c r="P277" i="2"/>
  <c r="Q277" i="2" s="1"/>
  <c r="O277" i="2"/>
  <c r="N277" i="2"/>
  <c r="H277" i="2"/>
  <c r="G277" i="2"/>
  <c r="D277" i="2"/>
  <c r="B277" i="2"/>
  <c r="P276" i="2"/>
  <c r="Q276" i="2" s="1"/>
  <c r="O276" i="2"/>
  <c r="N276" i="2"/>
  <c r="H276" i="2"/>
  <c r="G276" i="2"/>
  <c r="D276" i="2"/>
  <c r="B276" i="2"/>
  <c r="P275" i="2"/>
  <c r="Q275" i="2" s="1"/>
  <c r="O275" i="2"/>
  <c r="N275" i="2"/>
  <c r="H275" i="2"/>
  <c r="G275" i="2"/>
  <c r="D275" i="2"/>
  <c r="B275" i="2"/>
  <c r="P274" i="2"/>
  <c r="Q274" i="2" s="1"/>
  <c r="O274" i="2"/>
  <c r="N274" i="2"/>
  <c r="H274" i="2"/>
  <c r="G274" i="2"/>
  <c r="D274" i="2"/>
  <c r="B274" i="2"/>
  <c r="P273" i="2"/>
  <c r="Q273" i="2" s="1"/>
  <c r="O273" i="2"/>
  <c r="N273" i="2"/>
  <c r="H273" i="2"/>
  <c r="G273" i="2"/>
  <c r="D273" i="2"/>
  <c r="B273" i="2"/>
  <c r="P272" i="2"/>
  <c r="Q272" i="2" s="1"/>
  <c r="O272" i="2"/>
  <c r="N272" i="2"/>
  <c r="H272" i="2"/>
  <c r="G272" i="2"/>
  <c r="D272" i="2"/>
  <c r="B272" i="2"/>
  <c r="P271" i="2"/>
  <c r="Q271" i="2" s="1"/>
  <c r="O271" i="2"/>
  <c r="N271" i="2"/>
  <c r="H271" i="2"/>
  <c r="G271" i="2"/>
  <c r="D271" i="2"/>
  <c r="B271" i="2"/>
  <c r="P270" i="2"/>
  <c r="Q270" i="2" s="1"/>
  <c r="O270" i="2"/>
  <c r="N270" i="2"/>
  <c r="H270" i="2"/>
  <c r="G270" i="2"/>
  <c r="D270" i="2"/>
  <c r="B270" i="2"/>
  <c r="P269" i="2"/>
  <c r="Q269" i="2" s="1"/>
  <c r="O269" i="2"/>
  <c r="N269" i="2"/>
  <c r="H269" i="2"/>
  <c r="G269" i="2"/>
  <c r="D269" i="2"/>
  <c r="B269" i="2"/>
  <c r="P268" i="2"/>
  <c r="Q268" i="2" s="1"/>
  <c r="O268" i="2"/>
  <c r="N268" i="2"/>
  <c r="H268" i="2"/>
  <c r="G268" i="2"/>
  <c r="D268" i="2"/>
  <c r="B268" i="2"/>
  <c r="P267" i="2"/>
  <c r="Q267" i="2" s="1"/>
  <c r="O267" i="2"/>
  <c r="N267" i="2"/>
  <c r="H267" i="2"/>
  <c r="G267" i="2"/>
  <c r="D267" i="2"/>
  <c r="B267" i="2"/>
  <c r="P266" i="2"/>
  <c r="Q266" i="2" s="1"/>
  <c r="O266" i="2"/>
  <c r="N266" i="2"/>
  <c r="H266" i="2"/>
  <c r="G266" i="2"/>
  <c r="D266" i="2"/>
  <c r="B266" i="2"/>
  <c r="P265" i="2"/>
  <c r="Q265" i="2" s="1"/>
  <c r="O265" i="2"/>
  <c r="N265" i="2"/>
  <c r="H265" i="2"/>
  <c r="G265" i="2"/>
  <c r="D265" i="2"/>
  <c r="B265" i="2"/>
  <c r="P264" i="2"/>
  <c r="Q264" i="2" s="1"/>
  <c r="O264" i="2"/>
  <c r="N264" i="2"/>
  <c r="H264" i="2"/>
  <c r="G264" i="2"/>
  <c r="D264" i="2"/>
  <c r="B264" i="2"/>
  <c r="P263" i="2"/>
  <c r="Q263" i="2" s="1"/>
  <c r="O263" i="2"/>
  <c r="N263" i="2"/>
  <c r="H263" i="2"/>
  <c r="G263" i="2"/>
  <c r="D263" i="2"/>
  <c r="B263" i="2"/>
  <c r="P262" i="2"/>
  <c r="Q262" i="2" s="1"/>
  <c r="O262" i="2"/>
  <c r="N262" i="2"/>
  <c r="H262" i="2"/>
  <c r="G262" i="2"/>
  <c r="D262" i="2"/>
  <c r="B262" i="2"/>
  <c r="P261" i="2"/>
  <c r="Q261" i="2" s="1"/>
  <c r="O261" i="2"/>
  <c r="N261" i="2"/>
  <c r="H261" i="2"/>
  <c r="G261" i="2"/>
  <c r="D261" i="2"/>
  <c r="B261" i="2"/>
  <c r="P260" i="2"/>
  <c r="Q260" i="2" s="1"/>
  <c r="O260" i="2"/>
  <c r="N260" i="2"/>
  <c r="H260" i="2"/>
  <c r="G260" i="2"/>
  <c r="D260" i="2"/>
  <c r="B260" i="2"/>
  <c r="P259" i="2"/>
  <c r="Q259" i="2" s="1"/>
  <c r="O259" i="2"/>
  <c r="N259" i="2"/>
  <c r="H259" i="2"/>
  <c r="G259" i="2"/>
  <c r="D259" i="2"/>
  <c r="B259" i="2"/>
  <c r="P258" i="2"/>
  <c r="Q258" i="2" s="1"/>
  <c r="O258" i="2"/>
  <c r="N258" i="2"/>
  <c r="H258" i="2"/>
  <c r="G258" i="2"/>
  <c r="D258" i="2"/>
  <c r="B258" i="2"/>
  <c r="P257" i="2"/>
  <c r="Q257" i="2" s="1"/>
  <c r="O257" i="2"/>
  <c r="N257" i="2"/>
  <c r="H257" i="2"/>
  <c r="G257" i="2"/>
  <c r="D257" i="2"/>
  <c r="B257" i="2"/>
  <c r="P256" i="2"/>
  <c r="Q256" i="2" s="1"/>
  <c r="O256" i="2"/>
  <c r="N256" i="2"/>
  <c r="H256" i="2"/>
  <c r="G256" i="2"/>
  <c r="D256" i="2"/>
  <c r="B256" i="2"/>
  <c r="P255" i="2"/>
  <c r="Q255" i="2" s="1"/>
  <c r="O255" i="2"/>
  <c r="N255" i="2"/>
  <c r="H255" i="2"/>
  <c r="G255" i="2"/>
  <c r="D255" i="2"/>
  <c r="B255" i="2"/>
  <c r="P254" i="2"/>
  <c r="Q254" i="2" s="1"/>
  <c r="O254" i="2"/>
  <c r="N254" i="2"/>
  <c r="H254" i="2"/>
  <c r="G254" i="2"/>
  <c r="D254" i="2"/>
  <c r="B254" i="2"/>
  <c r="P253" i="2"/>
  <c r="Q253" i="2" s="1"/>
  <c r="O253" i="2"/>
  <c r="N253" i="2"/>
  <c r="H253" i="2"/>
  <c r="G253" i="2"/>
  <c r="D253" i="2"/>
  <c r="B253" i="2"/>
  <c r="P252" i="2"/>
  <c r="Q252" i="2" s="1"/>
  <c r="O252" i="2"/>
  <c r="N252" i="2"/>
  <c r="H252" i="2"/>
  <c r="G252" i="2"/>
  <c r="D252" i="2"/>
  <c r="B252" i="2"/>
  <c r="P251" i="2"/>
  <c r="Q251" i="2" s="1"/>
  <c r="O251" i="2"/>
  <c r="N251" i="2"/>
  <c r="H251" i="2"/>
  <c r="G251" i="2"/>
  <c r="D251" i="2"/>
  <c r="B251" i="2"/>
  <c r="P250" i="2"/>
  <c r="Q250" i="2" s="1"/>
  <c r="O250" i="2"/>
  <c r="N250" i="2"/>
  <c r="H250" i="2"/>
  <c r="G250" i="2"/>
  <c r="D250" i="2"/>
  <c r="B250" i="2"/>
  <c r="P249" i="2"/>
  <c r="Q249" i="2" s="1"/>
  <c r="O249" i="2"/>
  <c r="N249" i="2"/>
  <c r="H249" i="2"/>
  <c r="G249" i="2"/>
  <c r="D249" i="2"/>
  <c r="B249" i="2"/>
  <c r="P248" i="2"/>
  <c r="Q248" i="2" s="1"/>
  <c r="O248" i="2"/>
  <c r="N248" i="2"/>
  <c r="H248" i="2"/>
  <c r="G248" i="2"/>
  <c r="D248" i="2"/>
  <c r="B248" i="2"/>
  <c r="P247" i="2"/>
  <c r="Q247" i="2" s="1"/>
  <c r="O247" i="2"/>
  <c r="N247" i="2"/>
  <c r="H247" i="2"/>
  <c r="G247" i="2"/>
  <c r="D247" i="2"/>
  <c r="B247" i="2"/>
  <c r="P246" i="2"/>
  <c r="Q246" i="2" s="1"/>
  <c r="O246" i="2"/>
  <c r="N246" i="2"/>
  <c r="H246" i="2"/>
  <c r="G246" i="2"/>
  <c r="D246" i="2"/>
  <c r="B246" i="2"/>
  <c r="P245" i="2"/>
  <c r="Q245" i="2" s="1"/>
  <c r="O245" i="2"/>
  <c r="N245" i="2"/>
  <c r="H245" i="2"/>
  <c r="G245" i="2"/>
  <c r="D245" i="2"/>
  <c r="B245" i="2"/>
  <c r="P244" i="2"/>
  <c r="Q244" i="2" s="1"/>
  <c r="O244" i="2"/>
  <c r="N244" i="2"/>
  <c r="H244" i="2"/>
  <c r="G244" i="2"/>
  <c r="D244" i="2"/>
  <c r="B244" i="2"/>
  <c r="P243" i="2"/>
  <c r="Q243" i="2" s="1"/>
  <c r="O243" i="2"/>
  <c r="N243" i="2"/>
  <c r="H243" i="2"/>
  <c r="G243" i="2"/>
  <c r="D243" i="2"/>
  <c r="B243" i="2"/>
  <c r="P242" i="2"/>
  <c r="Q242" i="2" s="1"/>
  <c r="O242" i="2"/>
  <c r="N242" i="2"/>
  <c r="H242" i="2"/>
  <c r="G242" i="2"/>
  <c r="D242" i="2"/>
  <c r="B242" i="2"/>
  <c r="P241" i="2"/>
  <c r="Q241" i="2" s="1"/>
  <c r="O241" i="2"/>
  <c r="N241" i="2"/>
  <c r="H241" i="2"/>
  <c r="G241" i="2"/>
  <c r="D241" i="2"/>
  <c r="B241" i="2"/>
  <c r="P240" i="2"/>
  <c r="Q240" i="2" s="1"/>
  <c r="O240" i="2"/>
  <c r="N240" i="2"/>
  <c r="H240" i="2"/>
  <c r="G240" i="2"/>
  <c r="D240" i="2"/>
  <c r="B240" i="2"/>
  <c r="P239" i="2"/>
  <c r="Q239" i="2" s="1"/>
  <c r="O239" i="2"/>
  <c r="N239" i="2"/>
  <c r="H239" i="2"/>
  <c r="G239" i="2"/>
  <c r="D239" i="2"/>
  <c r="B239" i="2"/>
  <c r="P238" i="2"/>
  <c r="Q238" i="2" s="1"/>
  <c r="O238" i="2"/>
  <c r="N238" i="2"/>
  <c r="H238" i="2"/>
  <c r="G238" i="2"/>
  <c r="D238" i="2"/>
  <c r="B238" i="2"/>
  <c r="P237" i="2"/>
  <c r="Q237" i="2" s="1"/>
  <c r="O237" i="2"/>
  <c r="N237" i="2"/>
  <c r="H237" i="2"/>
  <c r="G237" i="2"/>
  <c r="D237" i="2"/>
  <c r="B237" i="2"/>
  <c r="P236" i="2"/>
  <c r="Q236" i="2" s="1"/>
  <c r="O236" i="2"/>
  <c r="N236" i="2"/>
  <c r="H236" i="2"/>
  <c r="G236" i="2"/>
  <c r="D236" i="2"/>
  <c r="B236" i="2"/>
  <c r="P235" i="2"/>
  <c r="Q235" i="2" s="1"/>
  <c r="O235" i="2"/>
  <c r="N235" i="2"/>
  <c r="H235" i="2"/>
  <c r="G235" i="2"/>
  <c r="D235" i="2"/>
  <c r="B235" i="2"/>
  <c r="P234" i="2"/>
  <c r="Q234" i="2" s="1"/>
  <c r="O234" i="2"/>
  <c r="N234" i="2"/>
  <c r="H234" i="2"/>
  <c r="G234" i="2"/>
  <c r="D234" i="2"/>
  <c r="B234" i="2"/>
  <c r="P233" i="2"/>
  <c r="Q233" i="2" s="1"/>
  <c r="O233" i="2"/>
  <c r="N233" i="2"/>
  <c r="H233" i="2"/>
  <c r="G233" i="2"/>
  <c r="D233" i="2"/>
  <c r="B233" i="2"/>
  <c r="P232" i="2"/>
  <c r="Q232" i="2" s="1"/>
  <c r="O232" i="2"/>
  <c r="N232" i="2"/>
  <c r="H232" i="2"/>
  <c r="G232" i="2"/>
  <c r="D232" i="2"/>
  <c r="B232" i="2"/>
  <c r="P231" i="2"/>
  <c r="Q231" i="2" s="1"/>
  <c r="O231" i="2"/>
  <c r="N231" i="2"/>
  <c r="H231" i="2"/>
  <c r="G231" i="2"/>
  <c r="D231" i="2"/>
  <c r="B231" i="2"/>
  <c r="P230" i="2"/>
  <c r="Q230" i="2" s="1"/>
  <c r="O230" i="2"/>
  <c r="N230" i="2"/>
  <c r="H230" i="2"/>
  <c r="G230" i="2"/>
  <c r="D230" i="2"/>
  <c r="B230" i="2"/>
  <c r="P229" i="2"/>
  <c r="Q229" i="2" s="1"/>
  <c r="O229" i="2"/>
  <c r="N229" i="2"/>
  <c r="H229" i="2"/>
  <c r="G229" i="2"/>
  <c r="D229" i="2"/>
  <c r="B229" i="2"/>
  <c r="P228" i="2"/>
  <c r="Q228" i="2" s="1"/>
  <c r="O228" i="2"/>
  <c r="N228" i="2"/>
  <c r="H228" i="2"/>
  <c r="G228" i="2"/>
  <c r="D228" i="2"/>
  <c r="B228" i="2"/>
  <c r="P227" i="2"/>
  <c r="Q227" i="2" s="1"/>
  <c r="O227" i="2"/>
  <c r="N227" i="2"/>
  <c r="H227" i="2"/>
  <c r="G227" i="2"/>
  <c r="D227" i="2"/>
  <c r="B227" i="2"/>
  <c r="P226" i="2"/>
  <c r="Q226" i="2" s="1"/>
  <c r="O226" i="2"/>
  <c r="N226" i="2"/>
  <c r="H226" i="2"/>
  <c r="G226" i="2"/>
  <c r="D226" i="2"/>
  <c r="B226" i="2"/>
  <c r="P225" i="2"/>
  <c r="Q225" i="2" s="1"/>
  <c r="O225" i="2"/>
  <c r="N225" i="2"/>
  <c r="H225" i="2"/>
  <c r="G225" i="2"/>
  <c r="D225" i="2"/>
  <c r="B225" i="2"/>
  <c r="P224" i="2"/>
  <c r="Q224" i="2" s="1"/>
  <c r="O224" i="2"/>
  <c r="N224" i="2"/>
  <c r="H224" i="2"/>
  <c r="G224" i="2"/>
  <c r="D224" i="2"/>
  <c r="B224" i="2"/>
  <c r="P223" i="2"/>
  <c r="Q223" i="2" s="1"/>
  <c r="N223" i="2"/>
  <c r="O223" i="2" s="1"/>
  <c r="H223" i="2"/>
  <c r="G223" i="2"/>
  <c r="D223" i="2"/>
  <c r="B223" i="2"/>
  <c r="P222" i="2"/>
  <c r="Q222" i="2" s="1"/>
  <c r="N222" i="2"/>
  <c r="O222" i="2" s="1"/>
  <c r="H222" i="2"/>
  <c r="G222" i="2"/>
  <c r="D222" i="2"/>
  <c r="B222" i="2"/>
  <c r="P221" i="2"/>
  <c r="Q221" i="2" s="1"/>
  <c r="N221" i="2"/>
  <c r="O221" i="2" s="1"/>
  <c r="H221" i="2"/>
  <c r="G221" i="2"/>
  <c r="D221" i="2"/>
  <c r="B221" i="2"/>
  <c r="P220" i="2"/>
  <c r="Q220" i="2" s="1"/>
  <c r="N220" i="2"/>
  <c r="O220" i="2" s="1"/>
  <c r="H220" i="2"/>
  <c r="G220" i="2"/>
  <c r="D220" i="2"/>
  <c r="B220" i="2"/>
  <c r="P219" i="2"/>
  <c r="Q219" i="2" s="1"/>
  <c r="N219" i="2"/>
  <c r="O219" i="2" s="1"/>
  <c r="H219" i="2"/>
  <c r="G219" i="2"/>
  <c r="D219" i="2"/>
  <c r="B219" i="2"/>
  <c r="P218" i="2"/>
  <c r="Q218" i="2" s="1"/>
  <c r="N218" i="2"/>
  <c r="O218" i="2" s="1"/>
  <c r="H218" i="2"/>
  <c r="G218" i="2"/>
  <c r="D218" i="2"/>
  <c r="B218" i="2"/>
  <c r="P217" i="2"/>
  <c r="Q217" i="2" s="1"/>
  <c r="N217" i="2"/>
  <c r="O217" i="2" s="1"/>
  <c r="H217" i="2"/>
  <c r="G217" i="2"/>
  <c r="D217" i="2"/>
  <c r="B217" i="2"/>
  <c r="Q216" i="2"/>
  <c r="P216" i="2"/>
  <c r="N216" i="2"/>
  <c r="O216" i="2" s="1"/>
  <c r="H216" i="2"/>
  <c r="G216" i="2"/>
  <c r="D216" i="2"/>
  <c r="B216" i="2"/>
  <c r="P215" i="2"/>
  <c r="Q215" i="2" s="1"/>
  <c r="N215" i="2"/>
  <c r="O215" i="2" s="1"/>
  <c r="H215" i="2"/>
  <c r="G215" i="2"/>
  <c r="D215" i="2"/>
  <c r="B215" i="2"/>
  <c r="P214" i="2"/>
  <c r="Q214" i="2" s="1"/>
  <c r="N214" i="2"/>
  <c r="O214" i="2" s="1"/>
  <c r="H214" i="2"/>
  <c r="G214" i="2"/>
  <c r="D214" i="2"/>
  <c r="B214" i="2"/>
  <c r="P213" i="2"/>
  <c r="Q213" i="2" s="1"/>
  <c r="N213" i="2"/>
  <c r="O213" i="2" s="1"/>
  <c r="H213" i="2"/>
  <c r="G213" i="2"/>
  <c r="D213" i="2"/>
  <c r="B213" i="2"/>
  <c r="P212" i="2"/>
  <c r="Q212" i="2" s="1"/>
  <c r="N212" i="2"/>
  <c r="O212" i="2" s="1"/>
  <c r="H212" i="2"/>
  <c r="G212" i="2"/>
  <c r="D212" i="2"/>
  <c r="B212" i="2"/>
  <c r="P211" i="2"/>
  <c r="Q211" i="2" s="1"/>
  <c r="N211" i="2"/>
  <c r="O211" i="2" s="1"/>
  <c r="H211" i="2"/>
  <c r="G211" i="2"/>
  <c r="D211" i="2"/>
  <c r="B211" i="2"/>
  <c r="P210" i="2"/>
  <c r="Q210" i="2" s="1"/>
  <c r="N210" i="2"/>
  <c r="O210" i="2" s="1"/>
  <c r="H210" i="2"/>
  <c r="G210" i="2"/>
  <c r="D210" i="2"/>
  <c r="B210" i="2"/>
  <c r="P209" i="2"/>
  <c r="Q209" i="2" s="1"/>
  <c r="N209" i="2"/>
  <c r="O209" i="2" s="1"/>
  <c r="H209" i="2"/>
  <c r="G209" i="2"/>
  <c r="D209" i="2"/>
  <c r="B209" i="2"/>
  <c r="Q208" i="2"/>
  <c r="P208" i="2"/>
  <c r="N208" i="2"/>
  <c r="O208" i="2" s="1"/>
  <c r="H208" i="2"/>
  <c r="G208" i="2"/>
  <c r="D208" i="2"/>
  <c r="B208" i="2"/>
  <c r="P207" i="2"/>
  <c r="Q207" i="2" s="1"/>
  <c r="N207" i="2"/>
  <c r="O207" i="2" s="1"/>
  <c r="H207" i="2"/>
  <c r="G207" i="2"/>
  <c r="D207" i="2"/>
  <c r="B207" i="2"/>
  <c r="P206" i="2"/>
  <c r="Q206" i="2" s="1"/>
  <c r="N206" i="2"/>
  <c r="O206" i="2" s="1"/>
  <c r="H206" i="2"/>
  <c r="G206" i="2"/>
  <c r="D206" i="2"/>
  <c r="B206" i="2"/>
  <c r="P205" i="2"/>
  <c r="Q205" i="2" s="1"/>
  <c r="N205" i="2"/>
  <c r="O205" i="2" s="1"/>
  <c r="H205" i="2"/>
  <c r="G205" i="2"/>
  <c r="D205" i="2"/>
  <c r="B205" i="2"/>
  <c r="Q204" i="2"/>
  <c r="P204" i="2"/>
  <c r="N204" i="2"/>
  <c r="O204" i="2" s="1"/>
  <c r="H204" i="2"/>
  <c r="G204" i="2"/>
  <c r="D204" i="2"/>
  <c r="B204" i="2"/>
  <c r="Q203" i="2"/>
  <c r="P203" i="2"/>
  <c r="N203" i="2"/>
  <c r="O203" i="2" s="1"/>
  <c r="H203" i="2"/>
  <c r="G203" i="2"/>
  <c r="D203" i="2"/>
  <c r="B203" i="2"/>
  <c r="P202" i="2"/>
  <c r="Q202" i="2" s="1"/>
  <c r="N202" i="2"/>
  <c r="O202" i="2" s="1"/>
  <c r="H202" i="2"/>
  <c r="G202" i="2"/>
  <c r="D202" i="2"/>
  <c r="B202" i="2"/>
  <c r="P201" i="2"/>
  <c r="Q201" i="2" s="1"/>
  <c r="N201" i="2"/>
  <c r="O201" i="2" s="1"/>
  <c r="H201" i="2"/>
  <c r="G201" i="2"/>
  <c r="D201" i="2"/>
  <c r="B201" i="2"/>
  <c r="P200" i="2"/>
  <c r="Q200" i="2" s="1"/>
  <c r="N200" i="2"/>
  <c r="O200" i="2" s="1"/>
  <c r="H200" i="2"/>
  <c r="G200" i="2"/>
  <c r="D200" i="2"/>
  <c r="B200" i="2"/>
  <c r="P199" i="2"/>
  <c r="Q199" i="2" s="1"/>
  <c r="N199" i="2"/>
  <c r="O199" i="2" s="1"/>
  <c r="H199" i="2"/>
  <c r="G199" i="2"/>
  <c r="D199" i="2"/>
  <c r="B199" i="2"/>
  <c r="P198" i="2"/>
  <c r="Q198" i="2" s="1"/>
  <c r="N198" i="2"/>
  <c r="O198" i="2" s="1"/>
  <c r="H198" i="2"/>
  <c r="G198" i="2"/>
  <c r="D198" i="2"/>
  <c r="B198" i="2"/>
  <c r="P197" i="2"/>
  <c r="Q197" i="2" s="1"/>
  <c r="N197" i="2"/>
  <c r="O197" i="2" s="1"/>
  <c r="H197" i="2"/>
  <c r="G197" i="2"/>
  <c r="D197" i="2"/>
  <c r="B197" i="2"/>
  <c r="Q196" i="2"/>
  <c r="P196" i="2"/>
  <c r="N196" i="2"/>
  <c r="O196" i="2" s="1"/>
  <c r="H196" i="2"/>
  <c r="G196" i="2"/>
  <c r="D196" i="2"/>
  <c r="B196" i="2"/>
  <c r="P195" i="2"/>
  <c r="Q195" i="2" s="1"/>
  <c r="N195" i="2"/>
  <c r="O195" i="2" s="1"/>
  <c r="H195" i="2"/>
  <c r="G195" i="2"/>
  <c r="D195" i="2"/>
  <c r="B195" i="2"/>
  <c r="P194" i="2"/>
  <c r="Q194" i="2" s="1"/>
  <c r="N194" i="2"/>
  <c r="O194" i="2" s="1"/>
  <c r="H194" i="2"/>
  <c r="G194" i="2"/>
  <c r="D194" i="2"/>
  <c r="B194" i="2"/>
  <c r="P193" i="2"/>
  <c r="Q193" i="2" s="1"/>
  <c r="N193" i="2"/>
  <c r="O193" i="2" s="1"/>
  <c r="H193" i="2"/>
  <c r="G193" i="2"/>
  <c r="D193" i="2"/>
  <c r="B193" i="2"/>
  <c r="P192" i="2"/>
  <c r="Q192" i="2" s="1"/>
  <c r="N192" i="2"/>
  <c r="O192" i="2" s="1"/>
  <c r="H192" i="2"/>
  <c r="G192" i="2"/>
  <c r="D192" i="2"/>
  <c r="B192" i="2"/>
  <c r="Q191" i="2"/>
  <c r="P191" i="2"/>
  <c r="N191" i="2"/>
  <c r="O191" i="2" s="1"/>
  <c r="H191" i="2"/>
  <c r="G191" i="2"/>
  <c r="D191" i="2"/>
  <c r="B191" i="2"/>
  <c r="P190" i="2"/>
  <c r="Q190" i="2" s="1"/>
  <c r="N190" i="2"/>
  <c r="O190" i="2" s="1"/>
  <c r="H190" i="2"/>
  <c r="G190" i="2"/>
  <c r="D190" i="2"/>
  <c r="B190" i="2"/>
  <c r="P189" i="2"/>
  <c r="Q189" i="2" s="1"/>
  <c r="N189" i="2"/>
  <c r="O189" i="2" s="1"/>
  <c r="H189" i="2"/>
  <c r="G189" i="2"/>
  <c r="D189" i="2"/>
  <c r="B189" i="2"/>
  <c r="Q188" i="2"/>
  <c r="P188" i="2"/>
  <c r="N188" i="2"/>
  <c r="O188" i="2" s="1"/>
  <c r="H188" i="2"/>
  <c r="G188" i="2"/>
  <c r="D188" i="2"/>
  <c r="B188" i="2"/>
  <c r="P187" i="2"/>
  <c r="Q187" i="2" s="1"/>
  <c r="N187" i="2"/>
  <c r="O187" i="2" s="1"/>
  <c r="H187" i="2"/>
  <c r="G187" i="2"/>
  <c r="D187" i="2"/>
  <c r="B187" i="2"/>
  <c r="P186" i="2"/>
  <c r="Q186" i="2" s="1"/>
  <c r="N186" i="2"/>
  <c r="O186" i="2" s="1"/>
  <c r="H186" i="2"/>
  <c r="G186" i="2"/>
  <c r="D186" i="2"/>
  <c r="B186" i="2"/>
  <c r="P185" i="2"/>
  <c r="Q185" i="2" s="1"/>
  <c r="N185" i="2"/>
  <c r="O185" i="2" s="1"/>
  <c r="H185" i="2"/>
  <c r="G185" i="2"/>
  <c r="D185" i="2"/>
  <c r="B185" i="2"/>
  <c r="Q184" i="2"/>
  <c r="P184" i="2"/>
  <c r="N184" i="2"/>
  <c r="O184" i="2" s="1"/>
  <c r="H184" i="2"/>
  <c r="G184" i="2"/>
  <c r="D184" i="2"/>
  <c r="B184" i="2"/>
  <c r="Q183" i="2"/>
  <c r="P183" i="2"/>
  <c r="N183" i="2"/>
  <c r="O183" i="2" s="1"/>
  <c r="H183" i="2"/>
  <c r="G183" i="2"/>
  <c r="D183" i="2"/>
  <c r="B183" i="2"/>
  <c r="P182" i="2"/>
  <c r="Q182" i="2" s="1"/>
  <c r="N182" i="2"/>
  <c r="O182" i="2" s="1"/>
  <c r="H182" i="2"/>
  <c r="G182" i="2"/>
  <c r="D182" i="2"/>
  <c r="B182" i="2"/>
  <c r="P181" i="2"/>
  <c r="Q181" i="2" s="1"/>
  <c r="N181" i="2"/>
  <c r="O181" i="2" s="1"/>
  <c r="H181" i="2"/>
  <c r="G181" i="2"/>
  <c r="D181" i="2"/>
  <c r="B181" i="2"/>
  <c r="P180" i="2"/>
  <c r="Q180" i="2" s="1"/>
  <c r="N180" i="2"/>
  <c r="O180" i="2" s="1"/>
  <c r="H180" i="2"/>
  <c r="G180" i="2"/>
  <c r="D180" i="2"/>
  <c r="B180" i="2"/>
  <c r="P179" i="2"/>
  <c r="Q179" i="2" s="1"/>
  <c r="N179" i="2"/>
  <c r="O179" i="2" s="1"/>
  <c r="H179" i="2"/>
  <c r="G179" i="2"/>
  <c r="D179" i="2"/>
  <c r="B179" i="2"/>
  <c r="P178" i="2"/>
  <c r="Q178" i="2" s="1"/>
  <c r="N178" i="2"/>
  <c r="O178" i="2" s="1"/>
  <c r="H178" i="2"/>
  <c r="G178" i="2"/>
  <c r="D178" i="2"/>
  <c r="B178" i="2"/>
  <c r="P177" i="2"/>
  <c r="Q177" i="2" s="1"/>
  <c r="N177" i="2"/>
  <c r="O177" i="2" s="1"/>
  <c r="H177" i="2"/>
  <c r="G177" i="2"/>
  <c r="D177" i="2"/>
  <c r="B177" i="2"/>
  <c r="P176" i="2"/>
  <c r="Q176" i="2" s="1"/>
  <c r="N176" i="2"/>
  <c r="O176" i="2" s="1"/>
  <c r="H176" i="2"/>
  <c r="G176" i="2"/>
  <c r="D176" i="2"/>
  <c r="B176" i="2"/>
  <c r="P175" i="2"/>
  <c r="Q175" i="2" s="1"/>
  <c r="N175" i="2"/>
  <c r="O175" i="2" s="1"/>
  <c r="H175" i="2"/>
  <c r="G175" i="2"/>
  <c r="D175" i="2"/>
  <c r="B175" i="2"/>
  <c r="P174" i="2"/>
  <c r="Q174" i="2" s="1"/>
  <c r="N174" i="2"/>
  <c r="O174" i="2" s="1"/>
  <c r="H174" i="2"/>
  <c r="G174" i="2"/>
  <c r="D174" i="2"/>
  <c r="B174" i="2"/>
  <c r="P173" i="2"/>
  <c r="Q173" i="2" s="1"/>
  <c r="N173" i="2"/>
  <c r="O173" i="2" s="1"/>
  <c r="H173" i="2"/>
  <c r="G173" i="2"/>
  <c r="D173" i="2"/>
  <c r="B173" i="2"/>
  <c r="P172" i="2"/>
  <c r="Q172" i="2" s="1"/>
  <c r="N172" i="2"/>
  <c r="O172" i="2" s="1"/>
  <c r="H172" i="2"/>
  <c r="G172" i="2"/>
  <c r="D172" i="2"/>
  <c r="B172" i="2"/>
  <c r="P171" i="2"/>
  <c r="Q171" i="2" s="1"/>
  <c r="N171" i="2"/>
  <c r="O171" i="2" s="1"/>
  <c r="H171" i="2"/>
  <c r="G171" i="2"/>
  <c r="D171" i="2"/>
  <c r="B171" i="2"/>
  <c r="P170" i="2"/>
  <c r="Q170" i="2" s="1"/>
  <c r="N170" i="2"/>
  <c r="O170" i="2" s="1"/>
  <c r="H170" i="2"/>
  <c r="G170" i="2"/>
  <c r="D170" i="2"/>
  <c r="B170" i="2"/>
  <c r="P169" i="2"/>
  <c r="Q169" i="2" s="1"/>
  <c r="N169" i="2"/>
  <c r="O169" i="2" s="1"/>
  <c r="H169" i="2"/>
  <c r="G169" i="2"/>
  <c r="D169" i="2"/>
  <c r="B169" i="2"/>
  <c r="Q168" i="2"/>
  <c r="P168" i="2"/>
  <c r="N168" i="2"/>
  <c r="O168" i="2" s="1"/>
  <c r="H168" i="2"/>
  <c r="G168" i="2"/>
  <c r="D168" i="2"/>
  <c r="B168" i="2"/>
  <c r="P167" i="2"/>
  <c r="Q167" i="2" s="1"/>
  <c r="N167" i="2"/>
  <c r="O167" i="2" s="1"/>
  <c r="H167" i="2"/>
  <c r="G167" i="2"/>
  <c r="D167" i="2"/>
  <c r="B167" i="2"/>
  <c r="P166" i="2"/>
  <c r="Q166" i="2" s="1"/>
  <c r="N166" i="2"/>
  <c r="O166" i="2" s="1"/>
  <c r="H166" i="2"/>
  <c r="G166" i="2"/>
  <c r="D166" i="2"/>
  <c r="B166" i="2"/>
  <c r="P165" i="2"/>
  <c r="Q165" i="2" s="1"/>
  <c r="N165" i="2"/>
  <c r="O165" i="2" s="1"/>
  <c r="H165" i="2"/>
  <c r="G165" i="2"/>
  <c r="D165" i="2"/>
  <c r="B165" i="2"/>
  <c r="Q164" i="2"/>
  <c r="P164" i="2"/>
  <c r="N164" i="2"/>
  <c r="O164" i="2" s="1"/>
  <c r="H164" i="2"/>
  <c r="G164" i="2"/>
  <c r="D164" i="2"/>
  <c r="B164" i="2"/>
  <c r="P163" i="2"/>
  <c r="Q163" i="2" s="1"/>
  <c r="N163" i="2"/>
  <c r="O163" i="2" s="1"/>
  <c r="H163" i="2"/>
  <c r="G163" i="2"/>
  <c r="D163" i="2"/>
  <c r="B163" i="2"/>
  <c r="P162" i="2"/>
  <c r="Q162" i="2" s="1"/>
  <c r="N162" i="2"/>
  <c r="O162" i="2" s="1"/>
  <c r="H162" i="2"/>
  <c r="G162" i="2"/>
  <c r="D162" i="2"/>
  <c r="B162" i="2"/>
  <c r="P161" i="2"/>
  <c r="Q161" i="2" s="1"/>
  <c r="N161" i="2"/>
  <c r="O161" i="2" s="1"/>
  <c r="H161" i="2"/>
  <c r="G161" i="2"/>
  <c r="D161" i="2"/>
  <c r="B161" i="2"/>
  <c r="Q160" i="2"/>
  <c r="P160" i="2"/>
  <c r="N160" i="2"/>
  <c r="O160" i="2" s="1"/>
  <c r="H160" i="2"/>
  <c r="G160" i="2"/>
  <c r="D160" i="2"/>
  <c r="B160" i="2"/>
  <c r="Q159" i="2"/>
  <c r="P159" i="2"/>
  <c r="N159" i="2"/>
  <c r="O159" i="2" s="1"/>
  <c r="H159" i="2"/>
  <c r="G159" i="2"/>
  <c r="D159" i="2"/>
  <c r="B159" i="2"/>
  <c r="P158" i="2"/>
  <c r="Q158" i="2" s="1"/>
  <c r="N158" i="2"/>
  <c r="O158" i="2" s="1"/>
  <c r="H158" i="2"/>
  <c r="G158" i="2"/>
  <c r="D158" i="2"/>
  <c r="B158" i="2"/>
  <c r="P157" i="2"/>
  <c r="Q157" i="2" s="1"/>
  <c r="N157" i="2"/>
  <c r="O157" i="2" s="1"/>
  <c r="H157" i="2"/>
  <c r="G157" i="2"/>
  <c r="D157" i="2"/>
  <c r="B157" i="2"/>
  <c r="P156" i="2"/>
  <c r="Q156" i="2" s="1"/>
  <c r="N156" i="2"/>
  <c r="O156" i="2" s="1"/>
  <c r="H156" i="2"/>
  <c r="G156" i="2"/>
  <c r="D156" i="2"/>
  <c r="B156" i="2"/>
  <c r="P155" i="2"/>
  <c r="Q155" i="2" s="1"/>
  <c r="N155" i="2"/>
  <c r="O155" i="2" s="1"/>
  <c r="H155" i="2"/>
  <c r="G155" i="2"/>
  <c r="D155" i="2"/>
  <c r="B155" i="2"/>
  <c r="P154" i="2"/>
  <c r="Q154" i="2" s="1"/>
  <c r="N154" i="2"/>
  <c r="O154" i="2" s="1"/>
  <c r="H154" i="2"/>
  <c r="G154" i="2"/>
  <c r="D154" i="2"/>
  <c r="B154" i="2"/>
  <c r="P153" i="2"/>
  <c r="Q153" i="2" s="1"/>
  <c r="N153" i="2"/>
  <c r="O153" i="2" s="1"/>
  <c r="H153" i="2"/>
  <c r="G153" i="2"/>
  <c r="D153" i="2"/>
  <c r="B153" i="2"/>
  <c r="P152" i="2"/>
  <c r="Q152" i="2" s="1"/>
  <c r="N152" i="2"/>
  <c r="O152" i="2" s="1"/>
  <c r="H152" i="2"/>
  <c r="G152" i="2"/>
  <c r="D152" i="2"/>
  <c r="B152" i="2"/>
  <c r="P151" i="2"/>
  <c r="Q151" i="2" s="1"/>
  <c r="N151" i="2"/>
  <c r="O151" i="2" s="1"/>
  <c r="H151" i="2"/>
  <c r="G151" i="2"/>
  <c r="D151" i="2"/>
  <c r="B151" i="2"/>
  <c r="P150" i="2"/>
  <c r="Q150" i="2" s="1"/>
  <c r="N150" i="2"/>
  <c r="O150" i="2" s="1"/>
  <c r="H150" i="2"/>
  <c r="G150" i="2"/>
  <c r="D150" i="2"/>
  <c r="B150" i="2"/>
  <c r="P149" i="2"/>
  <c r="Q149" i="2" s="1"/>
  <c r="N149" i="2"/>
  <c r="O149" i="2" s="1"/>
  <c r="H149" i="2"/>
  <c r="G149" i="2"/>
  <c r="D149" i="2"/>
  <c r="B149" i="2"/>
  <c r="Q148" i="2"/>
  <c r="P148" i="2"/>
  <c r="N148" i="2"/>
  <c r="O148" i="2" s="1"/>
  <c r="H148" i="2"/>
  <c r="G148" i="2"/>
  <c r="D148" i="2"/>
  <c r="B148" i="2"/>
  <c r="P147" i="2"/>
  <c r="Q147" i="2" s="1"/>
  <c r="N147" i="2"/>
  <c r="O147" i="2" s="1"/>
  <c r="H147" i="2"/>
  <c r="G147" i="2"/>
  <c r="D147" i="2"/>
  <c r="B147" i="2"/>
  <c r="P146" i="2"/>
  <c r="Q146" i="2" s="1"/>
  <c r="O146" i="2"/>
  <c r="N146" i="2"/>
  <c r="H146" i="2"/>
  <c r="G146" i="2"/>
  <c r="D146" i="2"/>
  <c r="B146" i="2"/>
  <c r="P145" i="2"/>
  <c r="Q145" i="2" s="1"/>
  <c r="O145" i="2"/>
  <c r="N145" i="2"/>
  <c r="H145" i="2"/>
  <c r="G145" i="2"/>
  <c r="D145" i="2"/>
  <c r="B145" i="2"/>
  <c r="P144" i="2"/>
  <c r="Q144" i="2" s="1"/>
  <c r="O144" i="2"/>
  <c r="N144" i="2"/>
  <c r="H144" i="2"/>
  <c r="G144" i="2"/>
  <c r="D144" i="2"/>
  <c r="B144" i="2"/>
  <c r="P143" i="2"/>
  <c r="Q143" i="2" s="1"/>
  <c r="O143" i="2"/>
  <c r="N143" i="2"/>
  <c r="H143" i="2"/>
  <c r="G143" i="2"/>
  <c r="D143" i="2"/>
  <c r="B143" i="2"/>
  <c r="P142" i="2"/>
  <c r="Q142" i="2" s="1"/>
  <c r="O142" i="2"/>
  <c r="N142" i="2"/>
  <c r="H142" i="2"/>
  <c r="G142" i="2"/>
  <c r="D142" i="2"/>
  <c r="B142" i="2"/>
  <c r="P141" i="2"/>
  <c r="Q141" i="2" s="1"/>
  <c r="O141" i="2"/>
  <c r="N141" i="2"/>
  <c r="H141" i="2"/>
  <c r="G141" i="2"/>
  <c r="D141" i="2"/>
  <c r="B141" i="2"/>
  <c r="P140" i="2"/>
  <c r="Q140" i="2" s="1"/>
  <c r="O140" i="2"/>
  <c r="N140" i="2"/>
  <c r="H140" i="2"/>
  <c r="G140" i="2"/>
  <c r="D140" i="2"/>
  <c r="B140" i="2"/>
  <c r="P139" i="2"/>
  <c r="Q139" i="2" s="1"/>
  <c r="O139" i="2"/>
  <c r="N139" i="2"/>
  <c r="H139" i="2"/>
  <c r="G139" i="2"/>
  <c r="D139" i="2"/>
  <c r="B139" i="2"/>
  <c r="P138" i="2"/>
  <c r="Q138" i="2" s="1"/>
  <c r="O138" i="2"/>
  <c r="N138" i="2"/>
  <c r="H138" i="2"/>
  <c r="G138" i="2"/>
  <c r="D138" i="2"/>
  <c r="B138" i="2"/>
  <c r="P137" i="2"/>
  <c r="Q137" i="2" s="1"/>
  <c r="O137" i="2"/>
  <c r="N137" i="2"/>
  <c r="H137" i="2"/>
  <c r="G137" i="2"/>
  <c r="D137" i="2"/>
  <c r="B137" i="2"/>
  <c r="P136" i="2"/>
  <c r="Q136" i="2" s="1"/>
  <c r="O136" i="2"/>
  <c r="N136" i="2"/>
  <c r="H136" i="2"/>
  <c r="G136" i="2"/>
  <c r="D136" i="2"/>
  <c r="B136" i="2"/>
  <c r="P135" i="2"/>
  <c r="Q135" i="2" s="1"/>
  <c r="O135" i="2"/>
  <c r="N135" i="2"/>
  <c r="H135" i="2"/>
  <c r="G135" i="2"/>
  <c r="D135" i="2"/>
  <c r="B135" i="2"/>
  <c r="P134" i="2"/>
  <c r="Q134" i="2" s="1"/>
  <c r="O134" i="2"/>
  <c r="N134" i="2"/>
  <c r="H134" i="2"/>
  <c r="G134" i="2"/>
  <c r="D134" i="2"/>
  <c r="B134" i="2"/>
  <c r="P133" i="2"/>
  <c r="Q133" i="2" s="1"/>
  <c r="O133" i="2"/>
  <c r="N133" i="2"/>
  <c r="H133" i="2"/>
  <c r="G133" i="2"/>
  <c r="D133" i="2"/>
  <c r="B133" i="2"/>
  <c r="P132" i="2"/>
  <c r="Q132" i="2" s="1"/>
  <c r="O132" i="2"/>
  <c r="N132" i="2"/>
  <c r="H132" i="2"/>
  <c r="G132" i="2"/>
  <c r="D132" i="2"/>
  <c r="B132" i="2"/>
  <c r="P131" i="2"/>
  <c r="Q131" i="2" s="1"/>
  <c r="O131" i="2"/>
  <c r="N131" i="2"/>
  <c r="H131" i="2"/>
  <c r="G131" i="2"/>
  <c r="D131" i="2"/>
  <c r="B131" i="2"/>
  <c r="P130" i="2"/>
  <c r="Q130" i="2" s="1"/>
  <c r="O130" i="2"/>
  <c r="N130" i="2"/>
  <c r="H130" i="2"/>
  <c r="G130" i="2"/>
  <c r="D130" i="2"/>
  <c r="B130" i="2"/>
  <c r="P129" i="2"/>
  <c r="Q129" i="2" s="1"/>
  <c r="O129" i="2"/>
  <c r="N129" i="2"/>
  <c r="H129" i="2"/>
  <c r="G129" i="2"/>
  <c r="D129" i="2"/>
  <c r="B129" i="2"/>
  <c r="P128" i="2"/>
  <c r="Q128" i="2" s="1"/>
  <c r="O128" i="2"/>
  <c r="N128" i="2"/>
  <c r="H128" i="2"/>
  <c r="G128" i="2"/>
  <c r="D128" i="2"/>
  <c r="B128" i="2"/>
  <c r="P127" i="2"/>
  <c r="Q127" i="2" s="1"/>
  <c r="O127" i="2"/>
  <c r="N127" i="2"/>
  <c r="H127" i="2"/>
  <c r="G127" i="2"/>
  <c r="D127" i="2"/>
  <c r="B127" i="2"/>
  <c r="P126" i="2"/>
  <c r="Q126" i="2" s="1"/>
  <c r="O126" i="2"/>
  <c r="N126" i="2"/>
  <c r="H126" i="2"/>
  <c r="G126" i="2"/>
  <c r="D126" i="2"/>
  <c r="B126" i="2"/>
  <c r="P125" i="2"/>
  <c r="Q125" i="2" s="1"/>
  <c r="O125" i="2"/>
  <c r="N125" i="2"/>
  <c r="H125" i="2"/>
  <c r="G125" i="2"/>
  <c r="D125" i="2"/>
  <c r="B125" i="2"/>
  <c r="P124" i="2"/>
  <c r="Q124" i="2" s="1"/>
  <c r="O124" i="2"/>
  <c r="N124" i="2"/>
  <c r="H124" i="2"/>
  <c r="G124" i="2"/>
  <c r="D124" i="2"/>
  <c r="B124" i="2"/>
  <c r="P123" i="2"/>
  <c r="Q123" i="2" s="1"/>
  <c r="O123" i="2"/>
  <c r="N123" i="2"/>
  <c r="H123" i="2"/>
  <c r="G123" i="2"/>
  <c r="D123" i="2"/>
  <c r="B123" i="2"/>
  <c r="P122" i="2"/>
  <c r="Q122" i="2" s="1"/>
  <c r="O122" i="2"/>
  <c r="N122" i="2"/>
  <c r="H122" i="2"/>
  <c r="G122" i="2"/>
  <c r="D122" i="2"/>
  <c r="B122" i="2"/>
  <c r="P121" i="2"/>
  <c r="Q121" i="2" s="1"/>
  <c r="O121" i="2"/>
  <c r="N121" i="2"/>
  <c r="H121" i="2"/>
  <c r="G121" i="2"/>
  <c r="D121" i="2"/>
  <c r="B121" i="2"/>
  <c r="P120" i="2"/>
  <c r="Q120" i="2" s="1"/>
  <c r="O120" i="2"/>
  <c r="N120" i="2"/>
  <c r="H120" i="2"/>
  <c r="G120" i="2"/>
  <c r="D120" i="2"/>
  <c r="B120" i="2"/>
  <c r="P119" i="2"/>
  <c r="Q119" i="2" s="1"/>
  <c r="O119" i="2"/>
  <c r="N119" i="2"/>
  <c r="H119" i="2"/>
  <c r="G119" i="2"/>
  <c r="D119" i="2"/>
  <c r="B119" i="2"/>
  <c r="P118" i="2"/>
  <c r="Q118" i="2" s="1"/>
  <c r="O118" i="2"/>
  <c r="N118" i="2"/>
  <c r="H118" i="2"/>
  <c r="G118" i="2"/>
  <c r="D118" i="2"/>
  <c r="B118" i="2"/>
  <c r="P117" i="2"/>
  <c r="Q117" i="2" s="1"/>
  <c r="O117" i="2"/>
  <c r="N117" i="2"/>
  <c r="H117" i="2"/>
  <c r="G117" i="2"/>
  <c r="D117" i="2"/>
  <c r="B117" i="2"/>
  <c r="P116" i="2"/>
  <c r="Q116" i="2" s="1"/>
  <c r="O116" i="2"/>
  <c r="N116" i="2"/>
  <c r="H116" i="2"/>
  <c r="G116" i="2"/>
  <c r="D116" i="2"/>
  <c r="B116" i="2"/>
  <c r="P115" i="2"/>
  <c r="Q115" i="2" s="1"/>
  <c r="O115" i="2"/>
  <c r="N115" i="2"/>
  <c r="H115" i="2"/>
  <c r="G115" i="2"/>
  <c r="D115" i="2"/>
  <c r="B115" i="2"/>
  <c r="P114" i="2"/>
  <c r="Q114" i="2" s="1"/>
  <c r="O114" i="2"/>
  <c r="N114" i="2"/>
  <c r="H114" i="2"/>
  <c r="G114" i="2"/>
  <c r="D114" i="2"/>
  <c r="B114" i="2"/>
  <c r="P113" i="2"/>
  <c r="Q113" i="2" s="1"/>
  <c r="O113" i="2"/>
  <c r="N113" i="2"/>
  <c r="H113" i="2"/>
  <c r="G113" i="2"/>
  <c r="D113" i="2"/>
  <c r="B113" i="2"/>
  <c r="P112" i="2"/>
  <c r="Q112" i="2" s="1"/>
  <c r="O112" i="2"/>
  <c r="N112" i="2"/>
  <c r="H112" i="2"/>
  <c r="G112" i="2"/>
  <c r="D112" i="2"/>
  <c r="B112" i="2"/>
  <c r="P111" i="2"/>
  <c r="Q111" i="2" s="1"/>
  <c r="O111" i="2"/>
  <c r="N111" i="2"/>
  <c r="H111" i="2"/>
  <c r="G111" i="2"/>
  <c r="D111" i="2"/>
  <c r="B111" i="2"/>
  <c r="P110" i="2"/>
  <c r="Q110" i="2" s="1"/>
  <c r="O110" i="2"/>
  <c r="N110" i="2"/>
  <c r="H110" i="2"/>
  <c r="G110" i="2"/>
  <c r="D110" i="2"/>
  <c r="B110" i="2"/>
  <c r="P109" i="2"/>
  <c r="Q109" i="2" s="1"/>
  <c r="O109" i="2"/>
  <c r="N109" i="2"/>
  <c r="H109" i="2"/>
  <c r="G109" i="2"/>
  <c r="D109" i="2"/>
  <c r="B109" i="2"/>
  <c r="P108" i="2"/>
  <c r="Q108" i="2" s="1"/>
  <c r="O108" i="2"/>
  <c r="N108" i="2"/>
  <c r="H108" i="2"/>
  <c r="G108" i="2"/>
  <c r="D108" i="2"/>
  <c r="B108" i="2"/>
  <c r="P107" i="2"/>
  <c r="Q107" i="2" s="1"/>
  <c r="O107" i="2"/>
  <c r="N107" i="2"/>
  <c r="H107" i="2"/>
  <c r="G107" i="2"/>
  <c r="D107" i="2"/>
  <c r="B107" i="2"/>
  <c r="P106" i="2"/>
  <c r="Q106" i="2" s="1"/>
  <c r="O106" i="2"/>
  <c r="N106" i="2"/>
  <c r="H106" i="2"/>
  <c r="G106" i="2"/>
  <c r="D106" i="2"/>
  <c r="B106" i="2"/>
  <c r="P105" i="2"/>
  <c r="Q105" i="2" s="1"/>
  <c r="O105" i="2"/>
  <c r="N105" i="2"/>
  <c r="H105" i="2"/>
  <c r="G105" i="2"/>
  <c r="D105" i="2"/>
  <c r="B105" i="2"/>
  <c r="P104" i="2"/>
  <c r="Q104" i="2" s="1"/>
  <c r="O104" i="2"/>
  <c r="N104" i="2"/>
  <c r="H104" i="2"/>
  <c r="G104" i="2"/>
  <c r="D104" i="2"/>
  <c r="B104" i="2"/>
  <c r="P103" i="2"/>
  <c r="Q103" i="2" s="1"/>
  <c r="O103" i="2"/>
  <c r="N103" i="2"/>
  <c r="H103" i="2"/>
  <c r="G103" i="2"/>
  <c r="D103" i="2"/>
  <c r="B103" i="2"/>
  <c r="P102" i="2"/>
  <c r="Q102" i="2" s="1"/>
  <c r="O102" i="2"/>
  <c r="N102" i="2"/>
  <c r="H102" i="2"/>
  <c r="G102" i="2"/>
  <c r="D102" i="2"/>
  <c r="B102" i="2"/>
  <c r="P101" i="2"/>
  <c r="Q101" i="2" s="1"/>
  <c r="O101" i="2"/>
  <c r="N101" i="2"/>
  <c r="H101" i="2"/>
  <c r="G101" i="2"/>
  <c r="D101" i="2"/>
  <c r="B101" i="2"/>
  <c r="P100" i="2"/>
  <c r="Q100" i="2" s="1"/>
  <c r="O100" i="2"/>
  <c r="N100" i="2"/>
  <c r="H100" i="2"/>
  <c r="G100" i="2"/>
  <c r="D100" i="2"/>
  <c r="B100" i="2"/>
  <c r="P99" i="2"/>
  <c r="Q99" i="2" s="1"/>
  <c r="O99" i="2"/>
  <c r="N99" i="2"/>
  <c r="H99" i="2"/>
  <c r="G99" i="2"/>
  <c r="D99" i="2"/>
  <c r="B99" i="2"/>
  <c r="P98" i="2"/>
  <c r="Q98" i="2" s="1"/>
  <c r="O98" i="2"/>
  <c r="N98" i="2"/>
  <c r="H98" i="2"/>
  <c r="G98" i="2"/>
  <c r="D98" i="2"/>
  <c r="B98" i="2"/>
  <c r="P97" i="2"/>
  <c r="Q97" i="2" s="1"/>
  <c r="O97" i="2"/>
  <c r="N97" i="2"/>
  <c r="H97" i="2"/>
  <c r="G97" i="2"/>
  <c r="D97" i="2"/>
  <c r="B97" i="2"/>
  <c r="P96" i="2"/>
  <c r="Q96" i="2" s="1"/>
  <c r="O96" i="2"/>
  <c r="N96" i="2"/>
  <c r="H96" i="2"/>
  <c r="G96" i="2"/>
  <c r="D96" i="2"/>
  <c r="B96" i="2"/>
  <c r="P95" i="2"/>
  <c r="Q95" i="2" s="1"/>
  <c r="O95" i="2"/>
  <c r="N95" i="2"/>
  <c r="H95" i="2"/>
  <c r="G95" i="2"/>
  <c r="D95" i="2"/>
  <c r="B95" i="2"/>
  <c r="P94" i="2"/>
  <c r="Q94" i="2" s="1"/>
  <c r="O94" i="2"/>
  <c r="N94" i="2"/>
  <c r="H94" i="2"/>
  <c r="G94" i="2"/>
  <c r="D94" i="2"/>
  <c r="B94" i="2"/>
  <c r="P93" i="2"/>
  <c r="Q93" i="2" s="1"/>
  <c r="O93" i="2"/>
  <c r="N93" i="2"/>
  <c r="H93" i="2"/>
  <c r="G93" i="2"/>
  <c r="D93" i="2"/>
  <c r="B93" i="2"/>
  <c r="P92" i="2"/>
  <c r="Q92" i="2" s="1"/>
  <c r="O92" i="2"/>
  <c r="N92" i="2"/>
  <c r="H92" i="2"/>
  <c r="G92" i="2"/>
  <c r="D92" i="2"/>
  <c r="B92" i="2"/>
  <c r="P91" i="2"/>
  <c r="Q91" i="2" s="1"/>
  <c r="O91" i="2"/>
  <c r="N91" i="2"/>
  <c r="H91" i="2"/>
  <c r="G91" i="2"/>
  <c r="D91" i="2"/>
  <c r="B91" i="2"/>
  <c r="P90" i="2"/>
  <c r="Q90" i="2" s="1"/>
  <c r="O90" i="2"/>
  <c r="N90" i="2"/>
  <c r="H90" i="2"/>
  <c r="G90" i="2"/>
  <c r="D90" i="2"/>
  <c r="B90" i="2"/>
  <c r="P89" i="2"/>
  <c r="Q89" i="2" s="1"/>
  <c r="O89" i="2"/>
  <c r="N89" i="2"/>
  <c r="H89" i="2"/>
  <c r="G89" i="2"/>
  <c r="D89" i="2"/>
  <c r="B89" i="2"/>
  <c r="P88" i="2"/>
  <c r="Q88" i="2" s="1"/>
  <c r="O88" i="2"/>
  <c r="N88" i="2"/>
  <c r="H88" i="2"/>
  <c r="G88" i="2"/>
  <c r="D88" i="2"/>
  <c r="B88" i="2"/>
  <c r="P87" i="2"/>
  <c r="Q87" i="2" s="1"/>
  <c r="N87" i="2"/>
  <c r="O87" i="2" s="1"/>
  <c r="H87" i="2"/>
  <c r="G87" i="2"/>
  <c r="D87" i="2"/>
  <c r="B87" i="2"/>
  <c r="P86" i="2"/>
  <c r="Q86" i="2" s="1"/>
  <c r="O86" i="2"/>
  <c r="N86" i="2"/>
  <c r="H86" i="2"/>
  <c r="G86" i="2"/>
  <c r="D86" i="2"/>
  <c r="B86" i="2"/>
  <c r="P85" i="2"/>
  <c r="Q85" i="2" s="1"/>
  <c r="N85" i="2"/>
  <c r="O85" i="2" s="1"/>
  <c r="H85" i="2"/>
  <c r="G85" i="2"/>
  <c r="D85" i="2"/>
  <c r="B85" i="2"/>
  <c r="P84" i="2"/>
  <c r="Q84" i="2" s="1"/>
  <c r="O84" i="2"/>
  <c r="N84" i="2"/>
  <c r="H84" i="2"/>
  <c r="G84" i="2"/>
  <c r="D84" i="2"/>
  <c r="B84" i="2"/>
  <c r="P83" i="2"/>
  <c r="Q83" i="2" s="1"/>
  <c r="N83" i="2"/>
  <c r="O83" i="2" s="1"/>
  <c r="H83" i="2"/>
  <c r="G83" i="2"/>
  <c r="D83" i="2"/>
  <c r="B83" i="2"/>
  <c r="P82" i="2"/>
  <c r="Q82" i="2" s="1"/>
  <c r="N82" i="2"/>
  <c r="O82" i="2" s="1"/>
  <c r="H82" i="2"/>
  <c r="G82" i="2"/>
  <c r="D82" i="2"/>
  <c r="B82" i="2"/>
  <c r="P81" i="2"/>
  <c r="Q81" i="2" s="1"/>
  <c r="O81" i="2"/>
  <c r="N81" i="2"/>
  <c r="H81" i="2"/>
  <c r="G81" i="2"/>
  <c r="D81" i="2"/>
  <c r="B81" i="2"/>
  <c r="P80" i="2"/>
  <c r="Q80" i="2" s="1"/>
  <c r="N80" i="2"/>
  <c r="O80" i="2" s="1"/>
  <c r="H80" i="2"/>
  <c r="G80" i="2"/>
  <c r="D80" i="2"/>
  <c r="B80" i="2"/>
  <c r="P79" i="2"/>
  <c r="Q79" i="2" s="1"/>
  <c r="O79" i="2"/>
  <c r="N79" i="2"/>
  <c r="H79" i="2"/>
  <c r="G79" i="2"/>
  <c r="D79" i="2"/>
  <c r="B79" i="2"/>
  <c r="P78" i="2"/>
  <c r="Q78" i="2" s="1"/>
  <c r="N78" i="2"/>
  <c r="O78" i="2" s="1"/>
  <c r="H78" i="2"/>
  <c r="G78" i="2"/>
  <c r="D78" i="2"/>
  <c r="B78" i="2"/>
  <c r="P77" i="2"/>
  <c r="Q77" i="2" s="1"/>
  <c r="O77" i="2"/>
  <c r="N77" i="2"/>
  <c r="H77" i="2"/>
  <c r="G77" i="2"/>
  <c r="D77" i="2"/>
  <c r="B77" i="2"/>
  <c r="P76" i="2"/>
  <c r="Q76" i="2" s="1"/>
  <c r="N76" i="2"/>
  <c r="O76" i="2" s="1"/>
  <c r="H76" i="2"/>
  <c r="G76" i="2"/>
  <c r="D76" i="2"/>
  <c r="B76" i="2"/>
  <c r="P75" i="2"/>
  <c r="Q75" i="2" s="1"/>
  <c r="N75" i="2"/>
  <c r="O75" i="2" s="1"/>
  <c r="H75" i="2"/>
  <c r="G75" i="2"/>
  <c r="D75" i="2"/>
  <c r="B75" i="2"/>
  <c r="P74" i="2"/>
  <c r="Q74" i="2" s="1"/>
  <c r="N74" i="2"/>
  <c r="O74" i="2" s="1"/>
  <c r="H74" i="2"/>
  <c r="G74" i="2"/>
  <c r="D74" i="2"/>
  <c r="B74" i="2"/>
  <c r="Q73" i="2"/>
  <c r="P73" i="2"/>
  <c r="N73" i="2"/>
  <c r="O73" i="2" s="1"/>
  <c r="H73" i="2"/>
  <c r="G73" i="2"/>
  <c r="D73" i="2"/>
  <c r="B73" i="2"/>
  <c r="P72" i="2"/>
  <c r="Q72" i="2" s="1"/>
  <c r="N72" i="2"/>
  <c r="O72" i="2" s="1"/>
  <c r="H72" i="2"/>
  <c r="G72" i="2"/>
  <c r="D72" i="2"/>
  <c r="B72" i="2"/>
  <c r="Q71" i="2"/>
  <c r="P71" i="2"/>
  <c r="N71" i="2"/>
  <c r="O71" i="2" s="1"/>
  <c r="H71" i="2"/>
  <c r="G71" i="2"/>
  <c r="D71" i="2"/>
  <c r="B71" i="2"/>
  <c r="P70" i="2"/>
  <c r="Q70" i="2" s="1"/>
  <c r="N70" i="2"/>
  <c r="O70" i="2" s="1"/>
  <c r="H70" i="2"/>
  <c r="G70" i="2"/>
  <c r="D70" i="2"/>
  <c r="B70" i="2"/>
  <c r="P69" i="2"/>
  <c r="Q69" i="2" s="1"/>
  <c r="N69" i="2"/>
  <c r="O69" i="2" s="1"/>
  <c r="H69" i="2"/>
  <c r="G69" i="2"/>
  <c r="D69" i="2"/>
  <c r="B69" i="2"/>
  <c r="Q68" i="2"/>
  <c r="P68" i="2"/>
  <c r="N68" i="2"/>
  <c r="O68" i="2" s="1"/>
  <c r="H68" i="2"/>
  <c r="G68" i="2"/>
  <c r="D68" i="2"/>
  <c r="B68" i="2"/>
  <c r="Q67" i="2"/>
  <c r="P67" i="2"/>
  <c r="N67" i="2"/>
  <c r="O67" i="2" s="1"/>
  <c r="H67" i="2"/>
  <c r="G67" i="2"/>
  <c r="D67" i="2"/>
  <c r="B67" i="2"/>
  <c r="P66" i="2"/>
  <c r="Q66" i="2" s="1"/>
  <c r="N66" i="2"/>
  <c r="O66" i="2" s="1"/>
  <c r="H66" i="2"/>
  <c r="G66" i="2"/>
  <c r="D66" i="2"/>
  <c r="B66" i="2"/>
  <c r="P65" i="2"/>
  <c r="Q65" i="2" s="1"/>
  <c r="N65" i="2"/>
  <c r="O65" i="2" s="1"/>
  <c r="H65" i="2"/>
  <c r="G65" i="2"/>
  <c r="D65" i="2"/>
  <c r="B65" i="2"/>
  <c r="P64" i="2"/>
  <c r="Q64" i="2" s="1"/>
  <c r="N64" i="2"/>
  <c r="O64" i="2" s="1"/>
  <c r="H64" i="2"/>
  <c r="G64" i="2"/>
  <c r="D64" i="2"/>
  <c r="B64" i="2"/>
  <c r="Q63" i="2"/>
  <c r="P63" i="2"/>
  <c r="N63" i="2"/>
  <c r="O63" i="2" s="1"/>
  <c r="H63" i="2"/>
  <c r="G63" i="2"/>
  <c r="D63" i="2"/>
  <c r="B63" i="2"/>
  <c r="P62" i="2"/>
  <c r="Q62" i="2" s="1"/>
  <c r="N62" i="2"/>
  <c r="O62" i="2" s="1"/>
  <c r="H62" i="2"/>
  <c r="G62" i="2"/>
  <c r="D62" i="2"/>
  <c r="B62" i="2"/>
  <c r="P61" i="2"/>
  <c r="Q61" i="2" s="1"/>
  <c r="N61" i="2"/>
  <c r="O61" i="2" s="1"/>
  <c r="H61" i="2"/>
  <c r="G61" i="2"/>
  <c r="D61" i="2"/>
  <c r="B61" i="2"/>
  <c r="P60" i="2"/>
  <c r="Q60" i="2" s="1"/>
  <c r="N60" i="2"/>
  <c r="O60" i="2" s="1"/>
  <c r="H60" i="2"/>
  <c r="G60" i="2"/>
  <c r="D60" i="2"/>
  <c r="B60" i="2"/>
  <c r="P59" i="2"/>
  <c r="Q59" i="2" s="1"/>
  <c r="N59" i="2"/>
  <c r="O59" i="2" s="1"/>
  <c r="H59" i="2"/>
  <c r="G59" i="2"/>
  <c r="D59" i="2"/>
  <c r="B59" i="2"/>
  <c r="P58" i="2"/>
  <c r="Q58" i="2" s="1"/>
  <c r="N58" i="2"/>
  <c r="O58" i="2" s="1"/>
  <c r="H58" i="2"/>
  <c r="G58" i="2"/>
  <c r="D58" i="2"/>
  <c r="B58" i="2"/>
  <c r="Q57" i="2"/>
  <c r="P57" i="2"/>
  <c r="N57" i="2"/>
  <c r="O57" i="2" s="1"/>
  <c r="H57" i="2"/>
  <c r="G57" i="2"/>
  <c r="D57" i="2"/>
  <c r="B57" i="2"/>
  <c r="P56" i="2"/>
  <c r="Q56" i="2" s="1"/>
  <c r="N56" i="2"/>
  <c r="O56" i="2" s="1"/>
  <c r="H56" i="2"/>
  <c r="G56" i="2"/>
  <c r="D56" i="2"/>
  <c r="B56" i="2"/>
  <c r="Q55" i="2"/>
  <c r="P55" i="2"/>
  <c r="N55" i="2"/>
  <c r="O55" i="2" s="1"/>
  <c r="H55" i="2"/>
  <c r="G55" i="2"/>
  <c r="D55" i="2"/>
  <c r="B55" i="2"/>
  <c r="P54" i="2"/>
  <c r="Q54" i="2" s="1"/>
  <c r="N54" i="2"/>
  <c r="O54" i="2" s="1"/>
  <c r="H54" i="2"/>
  <c r="G54" i="2"/>
  <c r="D54" i="2"/>
  <c r="B54" i="2"/>
  <c r="P53" i="2"/>
  <c r="Q53" i="2" s="1"/>
  <c r="N53" i="2"/>
  <c r="O53" i="2" s="1"/>
  <c r="H53" i="2"/>
  <c r="G53" i="2"/>
  <c r="D53" i="2"/>
  <c r="B53" i="2"/>
  <c r="Q52" i="2"/>
  <c r="P52" i="2"/>
  <c r="N52" i="2"/>
  <c r="O52" i="2" s="1"/>
  <c r="H52" i="2"/>
  <c r="G52" i="2"/>
  <c r="D52" i="2"/>
  <c r="B52" i="2"/>
  <c r="Q51" i="2"/>
  <c r="P51" i="2"/>
  <c r="N51" i="2"/>
  <c r="O51" i="2" s="1"/>
  <c r="H51" i="2"/>
  <c r="G51" i="2"/>
  <c r="D51" i="2"/>
  <c r="B51" i="2"/>
  <c r="P50" i="2"/>
  <c r="Q50" i="2" s="1"/>
  <c r="N50" i="2"/>
  <c r="O50" i="2" s="1"/>
  <c r="H50" i="2"/>
  <c r="G50" i="2"/>
  <c r="D50" i="2"/>
  <c r="B50" i="2"/>
  <c r="P49" i="2"/>
  <c r="Q49" i="2" s="1"/>
  <c r="N49" i="2"/>
  <c r="O49" i="2" s="1"/>
  <c r="H49" i="2"/>
  <c r="G49" i="2"/>
  <c r="D49" i="2"/>
  <c r="B49" i="2"/>
  <c r="P48" i="2"/>
  <c r="Q48" i="2" s="1"/>
  <c r="N48" i="2"/>
  <c r="O48" i="2" s="1"/>
  <c r="H48" i="2"/>
  <c r="G48" i="2"/>
  <c r="D48" i="2"/>
  <c r="B48" i="2"/>
  <c r="Q47" i="2"/>
  <c r="P47" i="2"/>
  <c r="N47" i="2"/>
  <c r="O47" i="2" s="1"/>
  <c r="H47" i="2"/>
  <c r="G47" i="2"/>
  <c r="D47" i="2"/>
  <c r="B47" i="2"/>
  <c r="P46" i="2"/>
  <c r="Q46" i="2" s="1"/>
  <c r="N46" i="2"/>
  <c r="O46" i="2" s="1"/>
  <c r="H46" i="2"/>
  <c r="G46" i="2"/>
  <c r="D46" i="2"/>
  <c r="B46" i="2"/>
  <c r="P45" i="2"/>
  <c r="Q45" i="2" s="1"/>
  <c r="N45" i="2"/>
  <c r="O45" i="2" s="1"/>
  <c r="H45" i="2"/>
  <c r="G45" i="2"/>
  <c r="D45" i="2"/>
  <c r="B45" i="2"/>
  <c r="P44" i="2"/>
  <c r="Q44" i="2" s="1"/>
  <c r="N44" i="2"/>
  <c r="O44" i="2" s="1"/>
  <c r="H44" i="2"/>
  <c r="G44" i="2"/>
  <c r="D44" i="2"/>
  <c r="B44" i="2"/>
  <c r="P43" i="2"/>
  <c r="Q43" i="2" s="1"/>
  <c r="N43" i="2"/>
  <c r="O43" i="2" s="1"/>
  <c r="H43" i="2"/>
  <c r="G43" i="2"/>
  <c r="D43" i="2"/>
  <c r="B43" i="2"/>
  <c r="P42" i="2"/>
  <c r="Q42" i="2" s="1"/>
  <c r="N42" i="2"/>
  <c r="O42" i="2" s="1"/>
  <c r="H42" i="2"/>
  <c r="G42" i="2"/>
  <c r="D42" i="2"/>
  <c r="B42" i="2"/>
  <c r="Q41" i="2"/>
  <c r="P41" i="2"/>
  <c r="N41" i="2"/>
  <c r="O41" i="2" s="1"/>
  <c r="H41" i="2"/>
  <c r="G41" i="2"/>
  <c r="D41" i="2"/>
  <c r="B41" i="2"/>
  <c r="P40" i="2"/>
  <c r="Q40" i="2" s="1"/>
  <c r="N40" i="2"/>
  <c r="O40" i="2" s="1"/>
  <c r="H40" i="2"/>
  <c r="G40" i="2"/>
  <c r="D40" i="2"/>
  <c r="B40" i="2"/>
  <c r="Q39" i="2"/>
  <c r="P39" i="2"/>
  <c r="N39" i="2"/>
  <c r="O39" i="2" s="1"/>
  <c r="H39" i="2"/>
  <c r="G39" i="2"/>
  <c r="D39" i="2"/>
  <c r="B39" i="2"/>
  <c r="P38" i="2"/>
  <c r="Q38" i="2" s="1"/>
  <c r="N38" i="2"/>
  <c r="O38" i="2" s="1"/>
  <c r="H38" i="2"/>
  <c r="G38" i="2"/>
  <c r="D38" i="2"/>
  <c r="B38" i="2"/>
  <c r="P37" i="2"/>
  <c r="Q37" i="2" s="1"/>
  <c r="N37" i="2"/>
  <c r="O37" i="2" s="1"/>
  <c r="H37" i="2"/>
  <c r="G37" i="2"/>
  <c r="D37" i="2"/>
  <c r="B37" i="2"/>
  <c r="Q36" i="2"/>
  <c r="P36" i="2"/>
  <c r="N36" i="2"/>
  <c r="O36" i="2" s="1"/>
  <c r="H36" i="2"/>
  <c r="G36" i="2"/>
  <c r="D36" i="2"/>
  <c r="B36" i="2"/>
  <c r="Q35" i="2"/>
  <c r="P35" i="2"/>
  <c r="N35" i="2"/>
  <c r="O35" i="2" s="1"/>
  <c r="H35" i="2"/>
  <c r="G35" i="2"/>
  <c r="D35" i="2"/>
  <c r="B35" i="2"/>
  <c r="P34" i="2"/>
  <c r="Q34" i="2" s="1"/>
  <c r="N34" i="2"/>
  <c r="O34" i="2" s="1"/>
  <c r="H34" i="2"/>
  <c r="G34" i="2"/>
  <c r="D34" i="2"/>
  <c r="B34" i="2"/>
  <c r="P33" i="2"/>
  <c r="Q33" i="2" s="1"/>
  <c r="N33" i="2"/>
  <c r="O33" i="2" s="1"/>
  <c r="H33" i="2"/>
  <c r="G33" i="2"/>
  <c r="D33" i="2"/>
  <c r="B33" i="2"/>
  <c r="P32" i="2"/>
  <c r="Q32" i="2" s="1"/>
  <c r="N32" i="2"/>
  <c r="O32" i="2" s="1"/>
  <c r="H32" i="2"/>
  <c r="G32" i="2"/>
  <c r="D32" i="2"/>
  <c r="B32" i="2"/>
  <c r="Q31" i="2"/>
  <c r="P31" i="2"/>
  <c r="N31" i="2"/>
  <c r="O31" i="2" s="1"/>
  <c r="H31" i="2"/>
  <c r="G31" i="2"/>
  <c r="D31" i="2"/>
  <c r="B31" i="2"/>
  <c r="P30" i="2"/>
  <c r="Q30" i="2" s="1"/>
  <c r="N30" i="2"/>
  <c r="O30" i="2" s="1"/>
  <c r="H30" i="2"/>
  <c r="G30" i="2"/>
  <c r="D30" i="2"/>
  <c r="B30" i="2"/>
  <c r="P29" i="2"/>
  <c r="Q29" i="2" s="1"/>
  <c r="N29" i="2"/>
  <c r="O29" i="2" s="1"/>
  <c r="H29" i="2"/>
  <c r="G29" i="2"/>
  <c r="D29" i="2"/>
  <c r="B29" i="2"/>
  <c r="P28" i="2"/>
  <c r="Q28" i="2" s="1"/>
  <c r="N28" i="2"/>
  <c r="O28" i="2" s="1"/>
  <c r="H28" i="2"/>
  <c r="G28" i="2"/>
  <c r="D28" i="2"/>
  <c r="B28" i="2"/>
  <c r="P27" i="2"/>
  <c r="Q27" i="2" s="1"/>
  <c r="N27" i="2"/>
  <c r="O27" i="2" s="1"/>
  <c r="H27" i="2"/>
  <c r="G27" i="2"/>
  <c r="D27" i="2"/>
  <c r="B27" i="2"/>
  <c r="P26" i="2"/>
  <c r="Q26" i="2" s="1"/>
  <c r="N26" i="2"/>
  <c r="O26" i="2" s="1"/>
  <c r="H26" i="2"/>
  <c r="G26" i="2"/>
  <c r="D26" i="2"/>
  <c r="B26" i="2"/>
  <c r="Q25" i="2"/>
  <c r="P25" i="2"/>
  <c r="N25" i="2"/>
  <c r="O25" i="2" s="1"/>
  <c r="H25" i="2"/>
  <c r="G25" i="2"/>
  <c r="D25" i="2"/>
  <c r="B25" i="2"/>
  <c r="P24" i="2"/>
  <c r="Q24" i="2" s="1"/>
  <c r="N24" i="2"/>
  <c r="O24" i="2" s="1"/>
  <c r="H24" i="2"/>
  <c r="G24" i="2"/>
  <c r="D24" i="2"/>
  <c r="B24" i="2"/>
  <c r="P23" i="2"/>
  <c r="Q23" i="2" s="1"/>
  <c r="N23" i="2"/>
  <c r="O23" i="2" s="1"/>
  <c r="H23" i="2"/>
  <c r="G23" i="2"/>
  <c r="D23" i="2"/>
  <c r="B23" i="2"/>
  <c r="P22" i="2"/>
  <c r="Q22" i="2" s="1"/>
  <c r="N22" i="2"/>
  <c r="O22" i="2" s="1"/>
  <c r="H22" i="2"/>
  <c r="G22" i="2"/>
  <c r="D22" i="2"/>
  <c r="B22" i="2"/>
  <c r="P21" i="2"/>
  <c r="Q21" i="2" s="1"/>
  <c r="N21" i="2"/>
  <c r="O21" i="2" s="1"/>
  <c r="H21" i="2"/>
  <c r="G21" i="2"/>
  <c r="D21" i="2"/>
  <c r="B21" i="2"/>
  <c r="Q20" i="2"/>
  <c r="P20" i="2"/>
  <c r="N20" i="2"/>
  <c r="O20" i="2" s="1"/>
  <c r="H20" i="2"/>
  <c r="G20" i="2"/>
  <c r="D20" i="2"/>
  <c r="B20" i="2"/>
  <c r="P19" i="2"/>
  <c r="Q19" i="2" s="1"/>
  <c r="N19" i="2"/>
  <c r="O19" i="2" s="1"/>
  <c r="H19" i="2"/>
  <c r="G19" i="2"/>
  <c r="D19" i="2"/>
  <c r="B19" i="2"/>
  <c r="P18" i="2"/>
  <c r="Q18" i="2" s="1"/>
  <c r="N18" i="2"/>
  <c r="O18" i="2" s="1"/>
  <c r="H18" i="2"/>
  <c r="G18" i="2"/>
  <c r="D18" i="2"/>
  <c r="B18" i="2"/>
  <c r="P17" i="2"/>
  <c r="Q17" i="2" s="1"/>
  <c r="N17" i="2"/>
  <c r="O17" i="2" s="1"/>
  <c r="H17" i="2"/>
  <c r="G17" i="2"/>
  <c r="D17" i="2"/>
  <c r="B17" i="2"/>
  <c r="P16" i="2"/>
  <c r="Q16" i="2" s="1"/>
  <c r="N16" i="2"/>
  <c r="O16" i="2" s="1"/>
  <c r="H16" i="2"/>
  <c r="G16" i="2"/>
  <c r="D16" i="2"/>
  <c r="B16" i="2"/>
  <c r="Q15" i="2"/>
  <c r="P15" i="2"/>
  <c r="N15" i="2"/>
  <c r="O15" i="2" s="1"/>
  <c r="H15" i="2"/>
  <c r="G15" i="2"/>
  <c r="D15" i="2"/>
  <c r="B15" i="2"/>
  <c r="P14" i="2"/>
  <c r="Q14" i="2" s="1"/>
  <c r="N14" i="2"/>
  <c r="O14" i="2" s="1"/>
  <c r="H14" i="2"/>
  <c r="G14" i="2"/>
  <c r="D14" i="2"/>
  <c r="B14" i="2"/>
  <c r="P13" i="2"/>
  <c r="Q13" i="2" s="1"/>
  <c r="N13" i="2"/>
  <c r="O13" i="2" s="1"/>
  <c r="H13" i="2"/>
  <c r="G13" i="2"/>
  <c r="D13" i="2"/>
  <c r="B13" i="2"/>
  <c r="P12" i="2"/>
  <c r="Q12" i="2" s="1"/>
  <c r="N12" i="2"/>
  <c r="O12" i="2" s="1"/>
  <c r="H12" i="2"/>
  <c r="G12" i="2"/>
  <c r="D12" i="2"/>
  <c r="B12" i="2"/>
  <c r="P11" i="2"/>
  <c r="Q11" i="2" s="1"/>
  <c r="N11" i="2"/>
  <c r="O11" i="2" s="1"/>
  <c r="H11" i="2"/>
  <c r="G11" i="2"/>
  <c r="D11" i="2"/>
  <c r="B11" i="2"/>
  <c r="P10" i="2"/>
  <c r="Q10" i="2" s="1"/>
  <c r="N10" i="2"/>
  <c r="O10" i="2" s="1"/>
  <c r="H10" i="2"/>
  <c r="G10" i="2"/>
  <c r="D10" i="2"/>
  <c r="B10" i="2"/>
  <c r="N9" i="2"/>
  <c r="O9" i="2" s="1"/>
  <c r="P9" i="2" s="1"/>
  <c r="Q9" i="2" s="1"/>
  <c r="P8" i="2"/>
  <c r="Q8" i="2" s="1"/>
  <c r="N8" i="2"/>
  <c r="O8" i="2" s="1"/>
  <c r="N7" i="2"/>
  <c r="O7" i="2" s="1"/>
  <c r="P7" i="2" s="1"/>
  <c r="Q7" i="2" s="1"/>
  <c r="N6" i="2"/>
  <c r="O6" i="2" s="1"/>
  <c r="P6" i="2" s="1"/>
  <c r="Q6" i="2" s="1"/>
  <c r="N5" i="2"/>
  <c r="O5" i="2" s="1"/>
  <c r="P5" i="2" s="1"/>
  <c r="AD204" i="1"/>
  <c r="AC204" i="1"/>
  <c r="AB204" i="1"/>
  <c r="AA204" i="1"/>
  <c r="Z204" i="1"/>
  <c r="Y204" i="1"/>
  <c r="X204" i="1"/>
  <c r="W204" i="1"/>
  <c r="AE204" i="1" s="1"/>
  <c r="S204" i="1"/>
  <c r="L204" i="1"/>
  <c r="C204" i="1"/>
  <c r="AF203" i="1"/>
  <c r="AD203" i="1"/>
  <c r="AB203" i="1"/>
  <c r="AC203" i="1" s="1"/>
  <c r="AA203" i="1"/>
  <c r="Z203" i="1"/>
  <c r="X203" i="1"/>
  <c r="W203" i="1"/>
  <c r="AE203" i="1" s="1"/>
  <c r="S203" i="1"/>
  <c r="L203" i="1"/>
  <c r="C203" i="1"/>
  <c r="AD202" i="1"/>
  <c r="AB202" i="1"/>
  <c r="AA202" i="1"/>
  <c r="Z202" i="1"/>
  <c r="X202" i="1"/>
  <c r="W202" i="1"/>
  <c r="AF202" i="1" s="1"/>
  <c r="S202" i="1"/>
  <c r="L202" i="1"/>
  <c r="C202" i="1"/>
  <c r="AD201" i="1"/>
  <c r="AB201" i="1"/>
  <c r="AA201" i="1"/>
  <c r="Z201" i="1"/>
  <c r="X201" i="1"/>
  <c r="W201" i="1"/>
  <c r="AC201" i="1" s="1"/>
  <c r="S201" i="1"/>
  <c r="L201" i="1"/>
  <c r="C201" i="1"/>
  <c r="AD200" i="1"/>
  <c r="AB200" i="1"/>
  <c r="AC200" i="1" s="1"/>
  <c r="AA200" i="1"/>
  <c r="Z200" i="1"/>
  <c r="X200" i="1"/>
  <c r="W200" i="1"/>
  <c r="Y200" i="1" s="1"/>
  <c r="S200" i="1"/>
  <c r="L200" i="1"/>
  <c r="C200" i="1"/>
  <c r="AF199" i="1"/>
  <c r="AD199" i="1"/>
  <c r="AB199" i="1"/>
  <c r="AC199" i="1" s="1"/>
  <c r="AA199" i="1"/>
  <c r="Z199" i="1"/>
  <c r="X199" i="1"/>
  <c r="W199" i="1"/>
  <c r="AE199" i="1" s="1"/>
  <c r="S199" i="1"/>
  <c r="L199" i="1"/>
  <c r="C199" i="1"/>
  <c r="AD198" i="1"/>
  <c r="AB198" i="1"/>
  <c r="AA198" i="1"/>
  <c r="Z198" i="1"/>
  <c r="Y198" i="1"/>
  <c r="X198" i="1"/>
  <c r="W198" i="1"/>
  <c r="AE198" i="1" s="1"/>
  <c r="S198" i="1"/>
  <c r="L198" i="1"/>
  <c r="C198" i="1"/>
  <c r="AF197" i="1"/>
  <c r="AD197" i="1"/>
  <c r="AB197" i="1"/>
  <c r="AC197" i="1" s="1"/>
  <c r="AA197" i="1"/>
  <c r="Z197" i="1"/>
  <c r="X197" i="1"/>
  <c r="W197" i="1"/>
  <c r="S197" i="1"/>
  <c r="L197" i="1"/>
  <c r="C197" i="1"/>
  <c r="AD196" i="1"/>
  <c r="AB196" i="1"/>
  <c r="AA196" i="1"/>
  <c r="Z196" i="1"/>
  <c r="X196" i="1"/>
  <c r="W196" i="1"/>
  <c r="AF196" i="1" s="1"/>
  <c r="S196" i="1"/>
  <c r="L196" i="1"/>
  <c r="C196" i="1"/>
  <c r="AD195" i="1"/>
  <c r="AB195" i="1"/>
  <c r="AA195" i="1"/>
  <c r="Z195" i="1"/>
  <c r="X195" i="1"/>
  <c r="W195" i="1"/>
  <c r="AE195" i="1" s="1"/>
  <c r="S195" i="1"/>
  <c r="L195" i="1"/>
  <c r="C195" i="1"/>
  <c r="AD194" i="1"/>
  <c r="AB194" i="1"/>
  <c r="AA194" i="1"/>
  <c r="Z194" i="1"/>
  <c r="X194" i="1"/>
  <c r="W194" i="1"/>
  <c r="AF194" i="1" s="1"/>
  <c r="S194" i="1"/>
  <c r="L194" i="1"/>
  <c r="C194" i="1"/>
  <c r="AE193" i="1"/>
  <c r="AD193" i="1"/>
  <c r="AB193" i="1"/>
  <c r="AA193" i="1"/>
  <c r="Z193" i="1"/>
  <c r="Y193" i="1"/>
  <c r="X193" i="1"/>
  <c r="W193" i="1"/>
  <c r="S193" i="1"/>
  <c r="L193" i="1"/>
  <c r="C193" i="1"/>
  <c r="AD192" i="1"/>
  <c r="AB192" i="1"/>
  <c r="AA192" i="1"/>
  <c r="Z192" i="1"/>
  <c r="X192" i="1"/>
  <c r="W192" i="1"/>
  <c r="Y192" i="1" s="1"/>
  <c r="S192" i="1"/>
  <c r="L192" i="1"/>
  <c r="C192" i="1"/>
  <c r="AD191" i="1"/>
  <c r="AB191" i="1"/>
  <c r="AA191" i="1"/>
  <c r="Z191" i="1"/>
  <c r="Y191" i="1"/>
  <c r="X191" i="1"/>
  <c r="W191" i="1"/>
  <c r="AE191" i="1" s="1"/>
  <c r="S191" i="1"/>
  <c r="L191" i="1"/>
  <c r="C191" i="1"/>
  <c r="AE190" i="1"/>
  <c r="AD190" i="1"/>
  <c r="AB190" i="1"/>
  <c r="AC190" i="1" s="1"/>
  <c r="AA190" i="1"/>
  <c r="Z190" i="1"/>
  <c r="X190" i="1"/>
  <c r="W190" i="1"/>
  <c r="Y190" i="1" s="1"/>
  <c r="S190" i="1"/>
  <c r="L190" i="1"/>
  <c r="C190" i="1"/>
  <c r="AE189" i="1"/>
  <c r="AD189" i="1"/>
  <c r="AB189" i="1"/>
  <c r="AA189" i="1"/>
  <c r="Z189" i="1"/>
  <c r="X189" i="1"/>
  <c r="W189" i="1"/>
  <c r="Y189" i="1" s="1"/>
  <c r="S189" i="1"/>
  <c r="L189" i="1"/>
  <c r="C189" i="1"/>
  <c r="AD188" i="1"/>
  <c r="AB188" i="1"/>
  <c r="AC188" i="1" s="1"/>
  <c r="AA188" i="1"/>
  <c r="Z188" i="1"/>
  <c r="Y188" i="1"/>
  <c r="X188" i="1"/>
  <c r="W188" i="1"/>
  <c r="AE188" i="1" s="1"/>
  <c r="S188" i="1"/>
  <c r="L188" i="1"/>
  <c r="C188" i="1"/>
  <c r="AF187" i="1"/>
  <c r="AD187" i="1"/>
  <c r="AB187" i="1"/>
  <c r="AA187" i="1"/>
  <c r="Z187" i="1"/>
  <c r="X187" i="1"/>
  <c r="W187" i="1"/>
  <c r="AE187" i="1" s="1"/>
  <c r="S187" i="1"/>
  <c r="L187" i="1"/>
  <c r="C187" i="1"/>
  <c r="AD186" i="1"/>
  <c r="AB186" i="1"/>
  <c r="AA186" i="1"/>
  <c r="Z186" i="1"/>
  <c r="X186" i="1"/>
  <c r="W186" i="1"/>
  <c r="Y186" i="1" s="1"/>
  <c r="S186" i="1"/>
  <c r="L186" i="1"/>
  <c r="C186" i="1"/>
  <c r="AE185" i="1"/>
  <c r="AD185" i="1"/>
  <c r="AB185" i="1"/>
  <c r="AA185" i="1"/>
  <c r="Z185" i="1"/>
  <c r="Y185" i="1"/>
  <c r="X185" i="1"/>
  <c r="W185" i="1"/>
  <c r="S185" i="1"/>
  <c r="L185" i="1"/>
  <c r="C185" i="1"/>
  <c r="AD184" i="1"/>
  <c r="AB184" i="1"/>
  <c r="AA184" i="1"/>
  <c r="Z184" i="1"/>
  <c r="X184" i="1"/>
  <c r="W184" i="1"/>
  <c r="AE184" i="1" s="1"/>
  <c r="S184" i="1"/>
  <c r="L184" i="1"/>
  <c r="C184" i="1"/>
  <c r="AD183" i="1"/>
  <c r="AB183" i="1"/>
  <c r="AC183" i="1" s="1"/>
  <c r="AA183" i="1"/>
  <c r="Z183" i="1"/>
  <c r="Y183" i="1"/>
  <c r="X183" i="1"/>
  <c r="W183" i="1"/>
  <c r="AE183" i="1" s="1"/>
  <c r="S183" i="1"/>
  <c r="L183" i="1"/>
  <c r="C183" i="1"/>
  <c r="AF182" i="1"/>
  <c r="AD182" i="1"/>
  <c r="AB182" i="1"/>
  <c r="AC182" i="1" s="1"/>
  <c r="AA182" i="1"/>
  <c r="Z182" i="1"/>
  <c r="X182" i="1"/>
  <c r="W182" i="1"/>
  <c r="AE182" i="1" s="1"/>
  <c r="S182" i="1"/>
  <c r="L182" i="1"/>
  <c r="C182" i="1"/>
  <c r="AE181" i="1"/>
  <c r="AD181" i="1"/>
  <c r="AB181" i="1"/>
  <c r="AA181" i="1"/>
  <c r="Z181" i="1"/>
  <c r="X181" i="1"/>
  <c r="W181" i="1"/>
  <c r="Y181" i="1" s="1"/>
  <c r="S181" i="1"/>
  <c r="L181" i="1"/>
  <c r="C181" i="1"/>
  <c r="AD180" i="1"/>
  <c r="AB180" i="1"/>
  <c r="AC180" i="1" s="1"/>
  <c r="AA180" i="1"/>
  <c r="Z180" i="1"/>
  <c r="X180" i="1"/>
  <c r="W180" i="1"/>
  <c r="Y180" i="1" s="1"/>
  <c r="S180" i="1"/>
  <c r="L180" i="1"/>
  <c r="C180" i="1"/>
  <c r="AD179" i="1"/>
  <c r="AB179" i="1"/>
  <c r="AA179" i="1"/>
  <c r="Z179" i="1"/>
  <c r="Y179" i="1"/>
  <c r="X179" i="1"/>
  <c r="W179" i="1"/>
  <c r="AF179" i="1" s="1"/>
  <c r="S179" i="1"/>
  <c r="L179" i="1"/>
  <c r="C179" i="1"/>
  <c r="AD178" i="1"/>
  <c r="AB178" i="1"/>
  <c r="AA178" i="1"/>
  <c r="Z178" i="1"/>
  <c r="X178" i="1"/>
  <c r="W178" i="1"/>
  <c r="AE178" i="1" s="1"/>
  <c r="S178" i="1"/>
  <c r="L178" i="1"/>
  <c r="C178" i="1"/>
  <c r="AD177" i="1"/>
  <c r="AB177" i="1"/>
  <c r="AA177" i="1"/>
  <c r="Z177" i="1"/>
  <c r="X177" i="1"/>
  <c r="W177" i="1"/>
  <c r="AE177" i="1" s="1"/>
  <c r="S177" i="1"/>
  <c r="L177" i="1"/>
  <c r="C177" i="1"/>
  <c r="AD176" i="1"/>
  <c r="AB176" i="1"/>
  <c r="AA176" i="1"/>
  <c r="Z176" i="1"/>
  <c r="X176" i="1"/>
  <c r="W176" i="1"/>
  <c r="AE176" i="1" s="1"/>
  <c r="S176" i="1"/>
  <c r="L176" i="1"/>
  <c r="C176" i="1"/>
  <c r="AF175" i="1"/>
  <c r="AD175" i="1"/>
  <c r="AB175" i="1"/>
  <c r="AC175" i="1" s="1"/>
  <c r="AA175" i="1"/>
  <c r="Z175" i="1"/>
  <c r="Y175" i="1"/>
  <c r="X175" i="1"/>
  <c r="W175" i="1"/>
  <c r="AE175" i="1" s="1"/>
  <c r="S175" i="1"/>
  <c r="L175" i="1"/>
  <c r="C175" i="1"/>
  <c r="AD174" i="1"/>
  <c r="AB174" i="1"/>
  <c r="AA174" i="1"/>
  <c r="Z174" i="1"/>
  <c r="X174" i="1"/>
  <c r="W174" i="1"/>
  <c r="AE174" i="1" s="1"/>
  <c r="S174" i="1"/>
  <c r="L174" i="1"/>
  <c r="C174" i="1"/>
  <c r="AD173" i="1"/>
  <c r="AB173" i="1"/>
  <c r="AC173" i="1" s="1"/>
  <c r="AA173" i="1"/>
  <c r="Z173" i="1"/>
  <c r="X173" i="1"/>
  <c r="W173" i="1"/>
  <c r="Y173" i="1" s="1"/>
  <c r="S173" i="1"/>
  <c r="L173" i="1"/>
  <c r="C173" i="1"/>
  <c r="AE172" i="1"/>
  <c r="AD172" i="1"/>
  <c r="AB172" i="1"/>
  <c r="AC172" i="1" s="1"/>
  <c r="AA172" i="1"/>
  <c r="Z172" i="1"/>
  <c r="X172" i="1"/>
  <c r="W172" i="1"/>
  <c r="Y172" i="1" s="1"/>
  <c r="S172" i="1"/>
  <c r="L172" i="1"/>
  <c r="C172" i="1"/>
  <c r="AD171" i="1"/>
  <c r="AB171" i="1"/>
  <c r="AA171" i="1"/>
  <c r="Z171" i="1"/>
  <c r="X171" i="1"/>
  <c r="W171" i="1"/>
  <c r="AF171" i="1" s="1"/>
  <c r="S171" i="1"/>
  <c r="L171" i="1"/>
  <c r="C171" i="1"/>
  <c r="AE170" i="1"/>
  <c r="AD170" i="1"/>
  <c r="AB170" i="1"/>
  <c r="AA170" i="1"/>
  <c r="Z170" i="1"/>
  <c r="Y170" i="1"/>
  <c r="X170" i="1"/>
  <c r="W170" i="1"/>
  <c r="S170" i="1"/>
  <c r="L170" i="1"/>
  <c r="C170" i="1"/>
  <c r="AE169" i="1"/>
  <c r="AD169" i="1"/>
  <c r="AB169" i="1"/>
  <c r="AA169" i="1"/>
  <c r="Z169" i="1"/>
  <c r="X169" i="1"/>
  <c r="W169" i="1"/>
  <c r="Y169" i="1" s="1"/>
  <c r="S169" i="1"/>
  <c r="L169" i="1"/>
  <c r="C169" i="1"/>
  <c r="AD168" i="1"/>
  <c r="AB168" i="1"/>
  <c r="AA168" i="1"/>
  <c r="Z168" i="1"/>
  <c r="X168" i="1"/>
  <c r="W168" i="1"/>
  <c r="AE168" i="1" s="1"/>
  <c r="S168" i="1"/>
  <c r="L168" i="1"/>
  <c r="C168" i="1"/>
  <c r="AF167" i="1"/>
  <c r="AD167" i="1"/>
  <c r="AB167" i="1"/>
  <c r="AC167" i="1" s="1"/>
  <c r="AA167" i="1"/>
  <c r="Z167" i="1"/>
  <c r="Y167" i="1"/>
  <c r="X167" i="1"/>
  <c r="W167" i="1"/>
  <c r="AE167" i="1" s="1"/>
  <c r="S167" i="1"/>
  <c r="L167" i="1"/>
  <c r="C167" i="1"/>
  <c r="AD166" i="1"/>
  <c r="AB166" i="1"/>
  <c r="AA166" i="1"/>
  <c r="Z166" i="1"/>
  <c r="X166" i="1"/>
  <c r="W166" i="1"/>
  <c r="AE166" i="1" s="1"/>
  <c r="S166" i="1"/>
  <c r="L166" i="1"/>
  <c r="C166" i="1"/>
  <c r="AD165" i="1"/>
  <c r="AB165" i="1"/>
  <c r="AA165" i="1"/>
  <c r="Z165" i="1"/>
  <c r="X165" i="1"/>
  <c r="W165" i="1"/>
  <c r="Y165" i="1" s="1"/>
  <c r="S165" i="1"/>
  <c r="L165" i="1"/>
  <c r="C165" i="1"/>
  <c r="AE164" i="1"/>
  <c r="AD164" i="1"/>
  <c r="AB164" i="1"/>
  <c r="AC164" i="1" s="1"/>
  <c r="AA164" i="1"/>
  <c r="Z164" i="1"/>
  <c r="X164" i="1"/>
  <c r="W164" i="1"/>
  <c r="Y164" i="1" s="1"/>
  <c r="S164" i="1"/>
  <c r="L164" i="1"/>
  <c r="C164" i="1"/>
  <c r="AD163" i="1"/>
  <c r="AB163" i="1"/>
  <c r="AA163" i="1"/>
  <c r="Z163" i="1"/>
  <c r="X163" i="1"/>
  <c r="W163" i="1"/>
  <c r="AF163" i="1" s="1"/>
  <c r="S163" i="1"/>
  <c r="L163" i="1"/>
  <c r="C163" i="1"/>
  <c r="AD162" i="1"/>
  <c r="AB162" i="1"/>
  <c r="AA162" i="1"/>
  <c r="Z162" i="1"/>
  <c r="X162" i="1"/>
  <c r="W162" i="1"/>
  <c r="AE162" i="1" s="1"/>
  <c r="S162" i="1"/>
  <c r="L162" i="1"/>
  <c r="C162" i="1"/>
  <c r="AD161" i="1"/>
  <c r="AB161" i="1"/>
  <c r="AA161" i="1"/>
  <c r="Z161" i="1"/>
  <c r="X161" i="1"/>
  <c r="W161" i="1"/>
  <c r="S161" i="1"/>
  <c r="L161" i="1"/>
  <c r="C161" i="1"/>
  <c r="AF160" i="1"/>
  <c r="AD160" i="1"/>
  <c r="AB160" i="1"/>
  <c r="AC160" i="1" s="1"/>
  <c r="AA160" i="1"/>
  <c r="Z160" i="1"/>
  <c r="Y160" i="1"/>
  <c r="X160" i="1"/>
  <c r="W160" i="1"/>
  <c r="AE160" i="1" s="1"/>
  <c r="S160" i="1"/>
  <c r="L160" i="1"/>
  <c r="C160" i="1"/>
  <c r="AD159" i="1"/>
  <c r="AC159" i="1"/>
  <c r="AB159" i="1"/>
  <c r="AA159" i="1"/>
  <c r="Z159" i="1"/>
  <c r="X159" i="1"/>
  <c r="W159" i="1"/>
  <c r="AE159" i="1" s="1"/>
  <c r="S159" i="1"/>
  <c r="L159" i="1"/>
  <c r="C159" i="1"/>
  <c r="AD158" i="1"/>
  <c r="AB158" i="1"/>
  <c r="AA158" i="1"/>
  <c r="Z158" i="1"/>
  <c r="X158" i="1"/>
  <c r="W158" i="1"/>
  <c r="AE158" i="1" s="1"/>
  <c r="S158" i="1"/>
  <c r="L158" i="1"/>
  <c r="C158" i="1"/>
  <c r="AE157" i="1"/>
  <c r="AD157" i="1"/>
  <c r="AC157" i="1"/>
  <c r="AB157" i="1"/>
  <c r="AA157" i="1"/>
  <c r="Z157" i="1"/>
  <c r="X157" i="1"/>
  <c r="W157" i="1"/>
  <c r="Y157" i="1" s="1"/>
  <c r="S157" i="1"/>
  <c r="L157" i="1"/>
  <c r="C157" i="1"/>
  <c r="AD156" i="1"/>
  <c r="AB156" i="1"/>
  <c r="AA156" i="1"/>
  <c r="Z156" i="1"/>
  <c r="X156" i="1"/>
  <c r="W156" i="1"/>
  <c r="Y156" i="1" s="1"/>
  <c r="S156" i="1"/>
  <c r="L156" i="1"/>
  <c r="C156" i="1"/>
  <c r="AD155" i="1"/>
  <c r="AB155" i="1"/>
  <c r="AA155" i="1"/>
  <c r="Z155" i="1"/>
  <c r="X155" i="1"/>
  <c r="W155" i="1"/>
  <c r="AF155" i="1" s="1"/>
  <c r="S155" i="1"/>
  <c r="L155" i="1"/>
  <c r="C155" i="1"/>
  <c r="AE154" i="1"/>
  <c r="AD154" i="1"/>
  <c r="AB154" i="1"/>
  <c r="AA154" i="1"/>
  <c r="Z154" i="1"/>
  <c r="X154" i="1"/>
  <c r="W154" i="1"/>
  <c r="Y154" i="1" s="1"/>
  <c r="S154" i="1"/>
  <c r="L154" i="1"/>
  <c r="C154" i="1"/>
  <c r="AD153" i="1"/>
  <c r="AB153" i="1"/>
  <c r="AA153" i="1"/>
  <c r="Z153" i="1"/>
  <c r="X153" i="1"/>
  <c r="W153" i="1"/>
  <c r="Y153" i="1" s="1"/>
  <c r="S153" i="1"/>
  <c r="L153" i="1"/>
  <c r="C153" i="1"/>
  <c r="AD152" i="1"/>
  <c r="AB152" i="1"/>
  <c r="AC152" i="1" s="1"/>
  <c r="AA152" i="1"/>
  <c r="Z152" i="1"/>
  <c r="Y152" i="1"/>
  <c r="X152" i="1"/>
  <c r="W152" i="1"/>
  <c r="AE152" i="1" s="1"/>
  <c r="S152" i="1"/>
  <c r="L152" i="1"/>
  <c r="C152" i="1"/>
  <c r="AD151" i="1"/>
  <c r="AB151" i="1"/>
  <c r="AC151" i="1" s="1"/>
  <c r="AA151" i="1"/>
  <c r="Z151" i="1"/>
  <c r="Y151" i="1"/>
  <c r="X151" i="1"/>
  <c r="W151" i="1"/>
  <c r="AE151" i="1" s="1"/>
  <c r="S151" i="1"/>
  <c r="L151" i="1"/>
  <c r="C151" i="1"/>
  <c r="AD150" i="1"/>
  <c r="AB150" i="1"/>
  <c r="AA150" i="1"/>
  <c r="Z150" i="1"/>
  <c r="X150" i="1"/>
  <c r="W150" i="1"/>
  <c r="AE150" i="1" s="1"/>
  <c r="S150" i="1"/>
  <c r="L150" i="1"/>
  <c r="C150" i="1"/>
  <c r="AE149" i="1"/>
  <c r="AD149" i="1"/>
  <c r="AB149" i="1"/>
  <c r="AA149" i="1"/>
  <c r="Z149" i="1"/>
  <c r="X149" i="1"/>
  <c r="W149" i="1"/>
  <c r="Y149" i="1" s="1"/>
  <c r="S149" i="1"/>
  <c r="L149" i="1"/>
  <c r="C149" i="1"/>
  <c r="AE148" i="1"/>
  <c r="AD148" i="1"/>
  <c r="AB148" i="1"/>
  <c r="AA148" i="1"/>
  <c r="Z148" i="1"/>
  <c r="X148" i="1"/>
  <c r="W148" i="1"/>
  <c r="Y148" i="1" s="1"/>
  <c r="S148" i="1"/>
  <c r="L148" i="1"/>
  <c r="C148" i="1"/>
  <c r="AD147" i="1"/>
  <c r="AB147" i="1"/>
  <c r="AA147" i="1"/>
  <c r="Z147" i="1"/>
  <c r="X147" i="1"/>
  <c r="W147" i="1"/>
  <c r="AF147" i="1" s="1"/>
  <c r="S147" i="1"/>
  <c r="L147" i="1"/>
  <c r="C147" i="1"/>
  <c r="AD146" i="1"/>
  <c r="AB146" i="1"/>
  <c r="AA146" i="1"/>
  <c r="Z146" i="1"/>
  <c r="X146" i="1"/>
  <c r="W146" i="1"/>
  <c r="AE146" i="1" s="1"/>
  <c r="S146" i="1"/>
  <c r="L146" i="1"/>
  <c r="C146" i="1"/>
  <c r="AD145" i="1"/>
  <c r="AB145" i="1"/>
  <c r="AA145" i="1"/>
  <c r="Z145" i="1"/>
  <c r="X145" i="1"/>
  <c r="W145" i="1"/>
  <c r="AE145" i="1" s="1"/>
  <c r="S145" i="1"/>
  <c r="L145" i="1"/>
  <c r="C145" i="1"/>
  <c r="AD144" i="1"/>
  <c r="AB144" i="1"/>
  <c r="AC144" i="1" s="1"/>
  <c r="AA144" i="1"/>
  <c r="Z144" i="1"/>
  <c r="X144" i="1"/>
  <c r="W144" i="1"/>
  <c r="AE144" i="1" s="1"/>
  <c r="S144" i="1"/>
  <c r="L144" i="1"/>
  <c r="C144" i="1"/>
  <c r="AF143" i="1"/>
  <c r="AD143" i="1"/>
  <c r="AB143" i="1"/>
  <c r="AA143" i="1"/>
  <c r="Z143" i="1"/>
  <c r="X143" i="1"/>
  <c r="W143" i="1"/>
  <c r="AE143" i="1" s="1"/>
  <c r="S143" i="1"/>
  <c r="L143" i="1"/>
  <c r="C143" i="1"/>
  <c r="AE142" i="1"/>
  <c r="AD142" i="1"/>
  <c r="AB142" i="1"/>
  <c r="AC142" i="1" s="1"/>
  <c r="AA142" i="1"/>
  <c r="Z142" i="1"/>
  <c r="X142" i="1"/>
  <c r="W142" i="1"/>
  <c r="Y142" i="1" s="1"/>
  <c r="S142" i="1"/>
  <c r="L142" i="1"/>
  <c r="C142" i="1"/>
  <c r="AF141" i="1"/>
  <c r="AD141" i="1"/>
  <c r="AB141" i="1"/>
  <c r="AA141" i="1"/>
  <c r="Z141" i="1"/>
  <c r="X141" i="1"/>
  <c r="W141" i="1"/>
  <c r="S141" i="1"/>
  <c r="L141" i="1"/>
  <c r="C141" i="1"/>
  <c r="AD140" i="1"/>
  <c r="AB140" i="1"/>
  <c r="AA140" i="1"/>
  <c r="Z140" i="1"/>
  <c r="X140" i="1"/>
  <c r="W140" i="1"/>
  <c r="AF140" i="1" s="1"/>
  <c r="S140" i="1"/>
  <c r="L140" i="1"/>
  <c r="C140" i="1"/>
  <c r="AD139" i="1"/>
  <c r="AB139" i="1"/>
  <c r="AA139" i="1"/>
  <c r="Z139" i="1"/>
  <c r="X139" i="1"/>
  <c r="W139" i="1"/>
  <c r="AF139" i="1" s="1"/>
  <c r="S139" i="1"/>
  <c r="L139" i="1"/>
  <c r="C139" i="1"/>
  <c r="AE138" i="1"/>
  <c r="AD138" i="1"/>
  <c r="AB138" i="1"/>
  <c r="AA138" i="1"/>
  <c r="Z138" i="1"/>
  <c r="X138" i="1"/>
  <c r="W138" i="1"/>
  <c r="Y138" i="1" s="1"/>
  <c r="S138" i="1"/>
  <c r="L138" i="1"/>
  <c r="C138" i="1"/>
  <c r="AD137" i="1"/>
  <c r="AB137" i="1"/>
  <c r="AA137" i="1"/>
  <c r="Z137" i="1"/>
  <c r="X137" i="1"/>
  <c r="W137" i="1"/>
  <c r="AF137" i="1" s="1"/>
  <c r="S137" i="1"/>
  <c r="L137" i="1"/>
  <c r="C137" i="1"/>
  <c r="AF136" i="1"/>
  <c r="AD136" i="1"/>
  <c r="AB136" i="1"/>
  <c r="AA136" i="1"/>
  <c r="Z136" i="1"/>
  <c r="X136" i="1"/>
  <c r="W136" i="1"/>
  <c r="AE136" i="1" s="1"/>
  <c r="S136" i="1"/>
  <c r="L136" i="1"/>
  <c r="C136" i="1"/>
  <c r="AD135" i="1"/>
  <c r="AB135" i="1"/>
  <c r="AA135" i="1"/>
  <c r="Z135" i="1"/>
  <c r="X135" i="1"/>
  <c r="W135" i="1"/>
  <c r="AE135" i="1" s="1"/>
  <c r="S135" i="1"/>
  <c r="L135" i="1"/>
  <c r="C135" i="1"/>
  <c r="AD134" i="1"/>
  <c r="AB134" i="1"/>
  <c r="AA134" i="1"/>
  <c r="Z134" i="1"/>
  <c r="X134" i="1"/>
  <c r="W134" i="1"/>
  <c r="Y134" i="1" s="1"/>
  <c r="S134" i="1"/>
  <c r="L134" i="1"/>
  <c r="C134" i="1"/>
  <c r="AD133" i="1"/>
  <c r="AB133" i="1"/>
  <c r="AA133" i="1"/>
  <c r="Z133" i="1"/>
  <c r="X133" i="1"/>
  <c r="W133" i="1"/>
  <c r="S133" i="1"/>
  <c r="L133" i="1"/>
  <c r="C133" i="1"/>
  <c r="AD132" i="1"/>
  <c r="AB132" i="1"/>
  <c r="AA132" i="1"/>
  <c r="Z132" i="1"/>
  <c r="X132" i="1"/>
  <c r="W132" i="1"/>
  <c r="Y132" i="1" s="1"/>
  <c r="S132" i="1"/>
  <c r="L132" i="1"/>
  <c r="C132" i="1"/>
  <c r="AD131" i="1"/>
  <c r="AB131" i="1"/>
  <c r="AA131" i="1"/>
  <c r="Z131" i="1"/>
  <c r="X131" i="1"/>
  <c r="W131" i="1"/>
  <c r="AF131" i="1" s="1"/>
  <c r="S131" i="1"/>
  <c r="L131" i="1"/>
  <c r="C131" i="1"/>
  <c r="AD130" i="1"/>
  <c r="AB130" i="1"/>
  <c r="AA130" i="1"/>
  <c r="Z130" i="1"/>
  <c r="X130" i="1"/>
  <c r="W130" i="1"/>
  <c r="Y130" i="1" s="1"/>
  <c r="S130" i="1"/>
  <c r="L130" i="1"/>
  <c r="C130" i="1"/>
  <c r="AD129" i="1"/>
  <c r="AB129" i="1"/>
  <c r="AA129" i="1"/>
  <c r="Z129" i="1"/>
  <c r="X129" i="1"/>
  <c r="W129" i="1"/>
  <c r="AF129" i="1" s="1"/>
  <c r="S129" i="1"/>
  <c r="L129" i="1"/>
  <c r="C129" i="1"/>
  <c r="AF128" i="1"/>
  <c r="AD128" i="1"/>
  <c r="AB128" i="1"/>
  <c r="AC128" i="1" s="1"/>
  <c r="AA128" i="1"/>
  <c r="Z128" i="1"/>
  <c r="X128" i="1"/>
  <c r="W128" i="1"/>
  <c r="AE128" i="1" s="1"/>
  <c r="S128" i="1"/>
  <c r="L128" i="1"/>
  <c r="C128" i="1"/>
  <c r="AD127" i="1"/>
  <c r="AB127" i="1"/>
  <c r="AA127" i="1"/>
  <c r="Z127" i="1"/>
  <c r="X127" i="1"/>
  <c r="W127" i="1"/>
  <c r="AE127" i="1" s="1"/>
  <c r="S127" i="1"/>
  <c r="L127" i="1"/>
  <c r="C127" i="1"/>
  <c r="AE126" i="1"/>
  <c r="AD126" i="1"/>
  <c r="AB126" i="1"/>
  <c r="AC126" i="1" s="1"/>
  <c r="AA126" i="1"/>
  <c r="Z126" i="1"/>
  <c r="X126" i="1"/>
  <c r="W126" i="1"/>
  <c r="Y126" i="1" s="1"/>
  <c r="S126" i="1"/>
  <c r="L126" i="1"/>
  <c r="C126" i="1"/>
  <c r="AF125" i="1"/>
  <c r="AD125" i="1"/>
  <c r="AB125" i="1"/>
  <c r="AA125" i="1"/>
  <c r="Z125" i="1"/>
  <c r="X125" i="1"/>
  <c r="W125" i="1"/>
  <c r="S125" i="1"/>
  <c r="L125" i="1"/>
  <c r="C125" i="1"/>
  <c r="AD124" i="1"/>
  <c r="AB124" i="1"/>
  <c r="AA124" i="1"/>
  <c r="Z124" i="1"/>
  <c r="X124" i="1"/>
  <c r="W124" i="1"/>
  <c r="Y124" i="1" s="1"/>
  <c r="S124" i="1"/>
  <c r="L124" i="1"/>
  <c r="C124" i="1"/>
  <c r="AD123" i="1"/>
  <c r="AB123" i="1"/>
  <c r="AA123" i="1"/>
  <c r="Z123" i="1"/>
  <c r="X123" i="1"/>
  <c r="W123" i="1"/>
  <c r="AF123" i="1" s="1"/>
  <c r="S123" i="1"/>
  <c r="L123" i="1"/>
  <c r="C123" i="1"/>
  <c r="AE122" i="1"/>
  <c r="AD122" i="1"/>
  <c r="AB122" i="1"/>
  <c r="AA122" i="1"/>
  <c r="Z122" i="1"/>
  <c r="Y122" i="1"/>
  <c r="X122" i="1"/>
  <c r="W122" i="1"/>
  <c r="S122" i="1"/>
  <c r="L122" i="1"/>
  <c r="C122" i="1"/>
  <c r="AF121" i="1"/>
  <c r="AD121" i="1"/>
  <c r="AB121" i="1"/>
  <c r="AA121" i="1"/>
  <c r="Z121" i="1"/>
  <c r="X121" i="1"/>
  <c r="W121" i="1"/>
  <c r="S121" i="1"/>
  <c r="L121" i="1"/>
  <c r="C121" i="1"/>
  <c r="AF120" i="1"/>
  <c r="AD120" i="1"/>
  <c r="AB120" i="1"/>
  <c r="AA120" i="1"/>
  <c r="Z120" i="1"/>
  <c r="X120" i="1"/>
  <c r="W120" i="1"/>
  <c r="AE120" i="1" s="1"/>
  <c r="S120" i="1"/>
  <c r="L120" i="1"/>
  <c r="C120" i="1"/>
  <c r="AD119" i="1"/>
  <c r="AB119" i="1"/>
  <c r="AA119" i="1"/>
  <c r="Z119" i="1"/>
  <c r="X119" i="1"/>
  <c r="W119" i="1"/>
  <c r="AE119" i="1" s="1"/>
  <c r="S119" i="1"/>
  <c r="L119" i="1"/>
  <c r="C119" i="1"/>
  <c r="AE118" i="1"/>
  <c r="AD118" i="1"/>
  <c r="AB118" i="1"/>
  <c r="AA118" i="1"/>
  <c r="Z118" i="1"/>
  <c r="X118" i="1"/>
  <c r="W118" i="1"/>
  <c r="Y118" i="1" s="1"/>
  <c r="S118" i="1"/>
  <c r="L118" i="1"/>
  <c r="C118" i="1"/>
  <c r="AD117" i="1"/>
  <c r="AB117" i="1"/>
  <c r="AA117" i="1"/>
  <c r="Z117" i="1"/>
  <c r="X117" i="1"/>
  <c r="W117" i="1"/>
  <c r="AF117" i="1" s="1"/>
  <c r="S117" i="1"/>
  <c r="L117" i="1"/>
  <c r="C117" i="1"/>
  <c r="AD116" i="1"/>
  <c r="AB116" i="1"/>
  <c r="AA116" i="1"/>
  <c r="Z116" i="1"/>
  <c r="X116" i="1"/>
  <c r="W116" i="1"/>
  <c r="Y116" i="1" s="1"/>
  <c r="S116" i="1"/>
  <c r="L116" i="1"/>
  <c r="C116" i="1"/>
  <c r="AD115" i="1"/>
  <c r="AB115" i="1"/>
  <c r="AC115" i="1" s="1"/>
  <c r="AA115" i="1"/>
  <c r="Z115" i="1"/>
  <c r="Y115" i="1"/>
  <c r="X115" i="1"/>
  <c r="W115" i="1"/>
  <c r="AF115" i="1" s="1"/>
  <c r="S115" i="1"/>
  <c r="L115" i="1"/>
  <c r="C115" i="1"/>
  <c r="AE114" i="1"/>
  <c r="AD114" i="1"/>
  <c r="AB114" i="1"/>
  <c r="AA114" i="1"/>
  <c r="Z114" i="1"/>
  <c r="Y114" i="1"/>
  <c r="X114" i="1"/>
  <c r="W114" i="1"/>
  <c r="S114" i="1"/>
  <c r="L114" i="1"/>
  <c r="C114" i="1"/>
  <c r="AD113" i="1"/>
  <c r="AB113" i="1"/>
  <c r="AA113" i="1"/>
  <c r="Z113" i="1"/>
  <c r="X113" i="1"/>
  <c r="W113" i="1"/>
  <c r="AF113" i="1" s="1"/>
  <c r="S113" i="1"/>
  <c r="L113" i="1"/>
  <c r="C113" i="1"/>
  <c r="AF112" i="1"/>
  <c r="AD112" i="1"/>
  <c r="AB112" i="1"/>
  <c r="AC112" i="1" s="1"/>
  <c r="AA112" i="1"/>
  <c r="Z112" i="1"/>
  <c r="Y112" i="1"/>
  <c r="X112" i="1"/>
  <c r="W112" i="1"/>
  <c r="AE112" i="1" s="1"/>
  <c r="S112" i="1"/>
  <c r="L112" i="1"/>
  <c r="C112" i="1"/>
  <c r="AD111" i="1"/>
  <c r="AC111" i="1"/>
  <c r="AB111" i="1"/>
  <c r="AA111" i="1"/>
  <c r="Z111" i="1"/>
  <c r="X111" i="1"/>
  <c r="W111" i="1"/>
  <c r="AE111" i="1" s="1"/>
  <c r="S111" i="1"/>
  <c r="L111" i="1"/>
  <c r="C111" i="1"/>
  <c r="AD110" i="1"/>
  <c r="AB110" i="1"/>
  <c r="AA110" i="1"/>
  <c r="Z110" i="1"/>
  <c r="X110" i="1"/>
  <c r="W110" i="1"/>
  <c r="Y110" i="1" s="1"/>
  <c r="S110" i="1"/>
  <c r="L110" i="1"/>
  <c r="C110" i="1"/>
  <c r="AD109" i="1"/>
  <c r="AB109" i="1"/>
  <c r="AA109" i="1"/>
  <c r="Z109" i="1"/>
  <c r="X109" i="1"/>
  <c r="W109" i="1"/>
  <c r="AF109" i="1" s="1"/>
  <c r="S109" i="1"/>
  <c r="L109" i="1"/>
  <c r="C109" i="1"/>
  <c r="AD108" i="1"/>
  <c r="AB108" i="1"/>
  <c r="AA108" i="1"/>
  <c r="Z108" i="1"/>
  <c r="X108" i="1"/>
  <c r="W108" i="1"/>
  <c r="Y108" i="1" s="1"/>
  <c r="S108" i="1"/>
  <c r="L108" i="1"/>
  <c r="C108" i="1"/>
  <c r="AD107" i="1"/>
  <c r="AB107" i="1"/>
  <c r="AC107" i="1" s="1"/>
  <c r="AA107" i="1"/>
  <c r="Z107" i="1"/>
  <c r="Y107" i="1"/>
  <c r="X107" i="1"/>
  <c r="W107" i="1"/>
  <c r="AF107" i="1" s="1"/>
  <c r="S107" i="1"/>
  <c r="L107" i="1"/>
  <c r="C107" i="1"/>
  <c r="AD106" i="1"/>
  <c r="AB106" i="1"/>
  <c r="AA106" i="1"/>
  <c r="Z106" i="1"/>
  <c r="X106" i="1"/>
  <c r="W106" i="1"/>
  <c r="Y106" i="1" s="1"/>
  <c r="S106" i="1"/>
  <c r="L106" i="1"/>
  <c r="C106" i="1"/>
  <c r="AD105" i="1"/>
  <c r="AB105" i="1"/>
  <c r="AA105" i="1"/>
  <c r="Z105" i="1"/>
  <c r="X105" i="1"/>
  <c r="W105" i="1"/>
  <c r="S105" i="1"/>
  <c r="L105" i="1"/>
  <c r="C105" i="1"/>
  <c r="AD104" i="1"/>
  <c r="AB104" i="1"/>
  <c r="AC104" i="1" s="1"/>
  <c r="AA104" i="1"/>
  <c r="Z104" i="1"/>
  <c r="X104" i="1"/>
  <c r="W104" i="1"/>
  <c r="AE104" i="1" s="1"/>
  <c r="S104" i="1"/>
  <c r="L104" i="1"/>
  <c r="C104" i="1"/>
  <c r="AD103" i="1"/>
  <c r="AB103" i="1"/>
  <c r="AA103" i="1"/>
  <c r="Z103" i="1"/>
  <c r="X103" i="1"/>
  <c r="W103" i="1"/>
  <c r="AE103" i="1" s="1"/>
  <c r="S103" i="1"/>
  <c r="L103" i="1"/>
  <c r="C103" i="1"/>
  <c r="AE102" i="1"/>
  <c r="AD102" i="1"/>
  <c r="AB102" i="1"/>
  <c r="AC102" i="1" s="1"/>
  <c r="AA102" i="1"/>
  <c r="Z102" i="1"/>
  <c r="X102" i="1"/>
  <c r="W102" i="1"/>
  <c r="Y102" i="1" s="1"/>
  <c r="S102" i="1"/>
  <c r="L102" i="1"/>
  <c r="C102" i="1"/>
  <c r="AD101" i="1"/>
  <c r="AB101" i="1"/>
  <c r="AA101" i="1"/>
  <c r="Z101" i="1"/>
  <c r="X101" i="1"/>
  <c r="W101" i="1"/>
  <c r="AF101" i="1" s="1"/>
  <c r="S101" i="1"/>
  <c r="L101" i="1"/>
  <c r="C101" i="1"/>
  <c r="AE100" i="1"/>
  <c r="AD100" i="1"/>
  <c r="AB100" i="1"/>
  <c r="AA100" i="1"/>
  <c r="Z100" i="1"/>
  <c r="X100" i="1"/>
  <c r="W100" i="1"/>
  <c r="S100" i="1"/>
  <c r="L100" i="1"/>
  <c r="C100" i="1"/>
  <c r="AD99" i="1"/>
  <c r="AB99" i="1"/>
  <c r="AA99" i="1"/>
  <c r="Z99" i="1"/>
  <c r="X99" i="1"/>
  <c r="W99" i="1"/>
  <c r="AF99" i="1" s="1"/>
  <c r="S99" i="1"/>
  <c r="L99" i="1"/>
  <c r="C99" i="1"/>
  <c r="AE98" i="1"/>
  <c r="AD98" i="1"/>
  <c r="AB98" i="1"/>
  <c r="AA98" i="1"/>
  <c r="Z98" i="1"/>
  <c r="Y98" i="1"/>
  <c r="X98" i="1"/>
  <c r="W98" i="1"/>
  <c r="S98" i="1"/>
  <c r="L98" i="1"/>
  <c r="C98" i="1"/>
  <c r="AF97" i="1"/>
  <c r="AD97" i="1"/>
  <c r="AB97" i="1"/>
  <c r="AA97" i="1"/>
  <c r="Z97" i="1"/>
  <c r="X97" i="1"/>
  <c r="W97" i="1"/>
  <c r="S97" i="1"/>
  <c r="L97" i="1"/>
  <c r="C97" i="1"/>
  <c r="AF96" i="1"/>
  <c r="AD96" i="1"/>
  <c r="AB96" i="1"/>
  <c r="AA96" i="1"/>
  <c r="Z96" i="1"/>
  <c r="X96" i="1"/>
  <c r="W96" i="1"/>
  <c r="AE96" i="1" s="1"/>
  <c r="S96" i="1"/>
  <c r="L96" i="1"/>
  <c r="C96" i="1"/>
  <c r="AF95" i="1"/>
  <c r="AD95" i="1"/>
  <c r="AB95" i="1"/>
  <c r="AC95" i="1" s="1"/>
  <c r="AA95" i="1"/>
  <c r="Z95" i="1"/>
  <c r="Y95" i="1"/>
  <c r="X95" i="1"/>
  <c r="W95" i="1"/>
  <c r="AE95" i="1" s="1"/>
  <c r="S95" i="1"/>
  <c r="L95" i="1"/>
  <c r="C95" i="1"/>
  <c r="AE94" i="1"/>
  <c r="AD94" i="1"/>
  <c r="AB94" i="1"/>
  <c r="AA94" i="1"/>
  <c r="Z94" i="1"/>
  <c r="X94" i="1"/>
  <c r="W94" i="1"/>
  <c r="Y94" i="1" s="1"/>
  <c r="S94" i="1"/>
  <c r="L94" i="1"/>
  <c r="C94" i="1"/>
  <c r="AD93" i="1"/>
  <c r="AB93" i="1"/>
  <c r="AA93" i="1"/>
  <c r="Z93" i="1"/>
  <c r="X93" i="1"/>
  <c r="W93" i="1"/>
  <c r="S93" i="1"/>
  <c r="L93" i="1"/>
  <c r="C93" i="1"/>
  <c r="AD92" i="1"/>
  <c r="AB92" i="1"/>
  <c r="AA92" i="1"/>
  <c r="Z92" i="1"/>
  <c r="X92" i="1"/>
  <c r="W92" i="1"/>
  <c r="AE92" i="1" s="1"/>
  <c r="S92" i="1"/>
  <c r="L92" i="1"/>
  <c r="C92" i="1"/>
  <c r="AD91" i="1"/>
  <c r="AB91" i="1"/>
  <c r="AC91" i="1" s="1"/>
  <c r="AA91" i="1"/>
  <c r="Z91" i="1"/>
  <c r="Y91" i="1"/>
  <c r="X91" i="1"/>
  <c r="W91" i="1"/>
  <c r="AF91" i="1" s="1"/>
  <c r="S91" i="1"/>
  <c r="L91" i="1"/>
  <c r="C91" i="1"/>
  <c r="AD90" i="1"/>
  <c r="AB90" i="1"/>
  <c r="AA90" i="1"/>
  <c r="Z90" i="1"/>
  <c r="X90" i="1"/>
  <c r="W90" i="1"/>
  <c r="AE90" i="1" s="1"/>
  <c r="S90" i="1"/>
  <c r="L90" i="1"/>
  <c r="C90" i="1"/>
  <c r="AD89" i="1"/>
  <c r="AB89" i="1"/>
  <c r="AA89" i="1"/>
  <c r="Z89" i="1"/>
  <c r="X89" i="1"/>
  <c r="W89" i="1"/>
  <c r="S89" i="1"/>
  <c r="L89" i="1"/>
  <c r="C89" i="1"/>
  <c r="AF88" i="1"/>
  <c r="AD88" i="1"/>
  <c r="AB88" i="1"/>
  <c r="AA88" i="1"/>
  <c r="Z88" i="1"/>
  <c r="X88" i="1"/>
  <c r="W88" i="1"/>
  <c r="AE88" i="1" s="1"/>
  <c r="S88" i="1"/>
  <c r="L88" i="1"/>
  <c r="C88" i="1"/>
  <c r="AD87" i="1"/>
  <c r="AB87" i="1"/>
  <c r="AA87" i="1"/>
  <c r="Z87" i="1"/>
  <c r="X87" i="1"/>
  <c r="W87" i="1"/>
  <c r="AE87" i="1" s="1"/>
  <c r="S87" i="1"/>
  <c r="L87" i="1"/>
  <c r="C87" i="1"/>
  <c r="AE86" i="1"/>
  <c r="AD86" i="1"/>
  <c r="AB86" i="1"/>
  <c r="AA86" i="1"/>
  <c r="Z86" i="1"/>
  <c r="X86" i="1"/>
  <c r="W86" i="1"/>
  <c r="Y86" i="1" s="1"/>
  <c r="S86" i="1"/>
  <c r="L86" i="1"/>
  <c r="C86" i="1"/>
  <c r="AD85" i="1"/>
  <c r="AB85" i="1"/>
  <c r="AA85" i="1"/>
  <c r="Z85" i="1"/>
  <c r="X85" i="1"/>
  <c r="W85" i="1"/>
  <c r="AF85" i="1" s="1"/>
  <c r="S85" i="1"/>
  <c r="L85" i="1"/>
  <c r="C85" i="1"/>
  <c r="AE84" i="1"/>
  <c r="AD84" i="1"/>
  <c r="AB84" i="1"/>
  <c r="AA84" i="1"/>
  <c r="Z84" i="1"/>
  <c r="X84" i="1"/>
  <c r="W84" i="1"/>
  <c r="S84" i="1"/>
  <c r="L84" i="1"/>
  <c r="C84" i="1"/>
  <c r="AD83" i="1"/>
  <c r="AB83" i="1"/>
  <c r="AC83" i="1" s="1"/>
  <c r="AA83" i="1"/>
  <c r="Z83" i="1"/>
  <c r="X83" i="1"/>
  <c r="W83" i="1"/>
  <c r="AF83" i="1" s="1"/>
  <c r="S83" i="1"/>
  <c r="L83" i="1"/>
  <c r="C83" i="1"/>
  <c r="AE82" i="1"/>
  <c r="AD82" i="1"/>
  <c r="AB82" i="1"/>
  <c r="AA82" i="1"/>
  <c r="Z82" i="1"/>
  <c r="X82" i="1"/>
  <c r="W82" i="1"/>
  <c r="S82" i="1"/>
  <c r="L82" i="1"/>
  <c r="C82" i="1"/>
  <c r="AD81" i="1"/>
  <c r="AB81" i="1"/>
  <c r="AA81" i="1"/>
  <c r="Z81" i="1"/>
  <c r="X81" i="1"/>
  <c r="W81" i="1"/>
  <c r="AF81" i="1" s="1"/>
  <c r="S81" i="1"/>
  <c r="L81" i="1"/>
  <c r="C81" i="1"/>
  <c r="AF80" i="1"/>
  <c r="AD80" i="1"/>
  <c r="AB80" i="1"/>
  <c r="AC80" i="1" s="1"/>
  <c r="AA80" i="1"/>
  <c r="Z80" i="1"/>
  <c r="Y80" i="1"/>
  <c r="X80" i="1"/>
  <c r="W80" i="1"/>
  <c r="AE80" i="1" s="1"/>
  <c r="S80" i="1"/>
  <c r="L80" i="1"/>
  <c r="C80" i="1"/>
  <c r="AD79" i="1"/>
  <c r="AC79" i="1"/>
  <c r="AB79" i="1"/>
  <c r="AA79" i="1"/>
  <c r="Z79" i="1"/>
  <c r="X79" i="1"/>
  <c r="W79" i="1"/>
  <c r="AE79" i="1" s="1"/>
  <c r="S79" i="1"/>
  <c r="L79" i="1"/>
  <c r="C79" i="1"/>
  <c r="AD78" i="1"/>
  <c r="AB78" i="1"/>
  <c r="AA78" i="1"/>
  <c r="Z78" i="1"/>
  <c r="X78" i="1"/>
  <c r="W78" i="1"/>
  <c r="Y78" i="1" s="1"/>
  <c r="S78" i="1"/>
  <c r="L78" i="1"/>
  <c r="C78" i="1"/>
  <c r="AF77" i="1"/>
  <c r="AD77" i="1"/>
  <c r="AB77" i="1"/>
  <c r="AA77" i="1"/>
  <c r="Z77" i="1"/>
  <c r="X77" i="1"/>
  <c r="W77" i="1"/>
  <c r="S77" i="1"/>
  <c r="L77" i="1"/>
  <c r="C77" i="1"/>
  <c r="AD76" i="1"/>
  <c r="AB76" i="1"/>
  <c r="AA76" i="1"/>
  <c r="Z76" i="1"/>
  <c r="X76" i="1"/>
  <c r="W76" i="1"/>
  <c r="S76" i="1"/>
  <c r="L76" i="1"/>
  <c r="C76" i="1"/>
  <c r="AD75" i="1"/>
  <c r="AB75" i="1"/>
  <c r="AC75" i="1" s="1"/>
  <c r="AA75" i="1"/>
  <c r="Z75" i="1"/>
  <c r="Y75" i="1"/>
  <c r="X75" i="1"/>
  <c r="W75" i="1"/>
  <c r="AF75" i="1" s="1"/>
  <c r="S75" i="1"/>
  <c r="L75" i="1"/>
  <c r="C75" i="1"/>
  <c r="AD74" i="1"/>
  <c r="AB74" i="1"/>
  <c r="AA74" i="1"/>
  <c r="Z74" i="1"/>
  <c r="X74" i="1"/>
  <c r="W74" i="1"/>
  <c r="AE74" i="1" s="1"/>
  <c r="S74" i="1"/>
  <c r="L74" i="1"/>
  <c r="C74" i="1"/>
  <c r="AF73" i="1"/>
  <c r="AD73" i="1"/>
  <c r="AB73" i="1"/>
  <c r="AA73" i="1"/>
  <c r="Z73" i="1"/>
  <c r="X73" i="1"/>
  <c r="W73" i="1"/>
  <c r="S73" i="1"/>
  <c r="L73" i="1"/>
  <c r="C73" i="1"/>
  <c r="AD72" i="1"/>
  <c r="AB72" i="1"/>
  <c r="AC72" i="1" s="1"/>
  <c r="AA72" i="1"/>
  <c r="Z72" i="1"/>
  <c r="X72" i="1"/>
  <c r="W72" i="1"/>
  <c r="AE72" i="1" s="1"/>
  <c r="S72" i="1"/>
  <c r="L72" i="1"/>
  <c r="C72" i="1"/>
  <c r="AF71" i="1"/>
  <c r="AD71" i="1"/>
  <c r="AB71" i="1"/>
  <c r="AA71" i="1"/>
  <c r="Z71" i="1"/>
  <c r="X71" i="1"/>
  <c r="W71" i="1"/>
  <c r="AE71" i="1" s="1"/>
  <c r="S71" i="1"/>
  <c r="L71" i="1"/>
  <c r="C71" i="1"/>
  <c r="AE70" i="1"/>
  <c r="AD70" i="1"/>
  <c r="AB70" i="1"/>
  <c r="AA70" i="1"/>
  <c r="Z70" i="1"/>
  <c r="X70" i="1"/>
  <c r="W70" i="1"/>
  <c r="Y70" i="1" s="1"/>
  <c r="S70" i="1"/>
  <c r="L70" i="1"/>
  <c r="C70" i="1"/>
  <c r="AD69" i="1"/>
  <c r="AB69" i="1"/>
  <c r="AA69" i="1"/>
  <c r="Z69" i="1"/>
  <c r="X69" i="1"/>
  <c r="W69" i="1"/>
  <c r="AF69" i="1" s="1"/>
  <c r="S69" i="1"/>
  <c r="L69" i="1"/>
  <c r="C69" i="1"/>
  <c r="AE68" i="1"/>
  <c r="AD68" i="1"/>
  <c r="AB68" i="1"/>
  <c r="AA68" i="1"/>
  <c r="Z68" i="1"/>
  <c r="X68" i="1"/>
  <c r="W68" i="1"/>
  <c r="S68" i="1"/>
  <c r="L68" i="1"/>
  <c r="C68" i="1"/>
  <c r="AD67" i="1"/>
  <c r="AB67" i="1"/>
  <c r="AA67" i="1"/>
  <c r="Z67" i="1"/>
  <c r="X67" i="1"/>
  <c r="W67" i="1"/>
  <c r="AF67" i="1" s="1"/>
  <c r="S67" i="1"/>
  <c r="L67" i="1"/>
  <c r="C67" i="1"/>
  <c r="AE66" i="1"/>
  <c r="AD66" i="1"/>
  <c r="AB66" i="1"/>
  <c r="AA66" i="1"/>
  <c r="Z66" i="1"/>
  <c r="X66" i="1"/>
  <c r="W66" i="1"/>
  <c r="S66" i="1"/>
  <c r="L66" i="1"/>
  <c r="C66" i="1"/>
  <c r="AD65" i="1"/>
  <c r="AB65" i="1"/>
  <c r="AA65" i="1"/>
  <c r="Z65" i="1"/>
  <c r="X65" i="1"/>
  <c r="W65" i="1"/>
  <c r="AF65" i="1" s="1"/>
  <c r="S65" i="1"/>
  <c r="L65" i="1"/>
  <c r="C65" i="1"/>
  <c r="AF64" i="1"/>
  <c r="AD64" i="1"/>
  <c r="AB64" i="1"/>
  <c r="AA64" i="1"/>
  <c r="Z64" i="1"/>
  <c r="X64" i="1"/>
  <c r="W64" i="1"/>
  <c r="AE64" i="1" s="1"/>
  <c r="S64" i="1"/>
  <c r="L64" i="1"/>
  <c r="C64" i="1"/>
  <c r="AD63" i="1"/>
  <c r="AC63" i="1"/>
  <c r="AB63" i="1"/>
  <c r="AA63" i="1"/>
  <c r="Z63" i="1"/>
  <c r="Y63" i="1"/>
  <c r="X63" i="1"/>
  <c r="W63" i="1"/>
  <c r="AE63" i="1" s="1"/>
  <c r="S63" i="1"/>
  <c r="L63" i="1"/>
  <c r="C63" i="1"/>
  <c r="AD62" i="1"/>
  <c r="AB62" i="1"/>
  <c r="AA62" i="1"/>
  <c r="Z62" i="1"/>
  <c r="X62" i="1"/>
  <c r="W62" i="1"/>
  <c r="AF62" i="1" s="1"/>
  <c r="S62" i="1"/>
  <c r="L62" i="1"/>
  <c r="C62" i="1"/>
  <c r="AD61" i="1"/>
  <c r="AB61" i="1"/>
  <c r="AC61" i="1" s="1"/>
  <c r="AA61" i="1"/>
  <c r="Z61" i="1"/>
  <c r="Y61" i="1"/>
  <c r="X61" i="1"/>
  <c r="W61" i="1"/>
  <c r="AF61" i="1" s="1"/>
  <c r="S61" i="1"/>
  <c r="L61" i="1"/>
  <c r="C61" i="1"/>
  <c r="AD60" i="1"/>
  <c r="AB60" i="1"/>
  <c r="AA60" i="1"/>
  <c r="Z60" i="1"/>
  <c r="X60" i="1"/>
  <c r="W60" i="1"/>
  <c r="AC60" i="1" s="1"/>
  <c r="S60" i="1"/>
  <c r="L60" i="1"/>
  <c r="C60" i="1"/>
  <c r="AD59" i="1"/>
  <c r="AC59" i="1"/>
  <c r="AB59" i="1"/>
  <c r="AA59" i="1"/>
  <c r="Z59" i="1"/>
  <c r="X59" i="1"/>
  <c r="W59" i="1"/>
  <c r="AF59" i="1" s="1"/>
  <c r="S59" i="1"/>
  <c r="L59" i="1"/>
  <c r="C59" i="1"/>
  <c r="AD58" i="1"/>
  <c r="AB58" i="1"/>
  <c r="AA58" i="1"/>
  <c r="Z58" i="1"/>
  <c r="X58" i="1"/>
  <c r="W58" i="1"/>
  <c r="AE58" i="1" s="1"/>
  <c r="S58" i="1"/>
  <c r="L58" i="1"/>
  <c r="C58" i="1"/>
  <c r="AF57" i="1"/>
  <c r="AD57" i="1"/>
  <c r="AB57" i="1"/>
  <c r="AA57" i="1"/>
  <c r="Z57" i="1"/>
  <c r="X57" i="1"/>
  <c r="W57" i="1"/>
  <c r="AE57" i="1" s="1"/>
  <c r="S57" i="1"/>
  <c r="L57" i="1"/>
  <c r="C57" i="1"/>
  <c r="AD56" i="1"/>
  <c r="AB56" i="1"/>
  <c r="AA56" i="1"/>
  <c r="Z56" i="1"/>
  <c r="X56" i="1"/>
  <c r="W56" i="1"/>
  <c r="AF56" i="1" s="1"/>
  <c r="S56" i="1"/>
  <c r="L56" i="1"/>
  <c r="C56" i="1"/>
  <c r="AD55" i="1"/>
  <c r="AB55" i="1"/>
  <c r="AA55" i="1"/>
  <c r="Z55" i="1"/>
  <c r="X55" i="1"/>
  <c r="W55" i="1"/>
  <c r="Y55" i="1" s="1"/>
  <c r="S55" i="1"/>
  <c r="L55" i="1"/>
  <c r="C55" i="1"/>
  <c r="AE54" i="1"/>
  <c r="AD54" i="1"/>
  <c r="AB54" i="1"/>
  <c r="AA54" i="1"/>
  <c r="Z54" i="1"/>
  <c r="X54" i="1"/>
  <c r="W54" i="1"/>
  <c r="S54" i="1"/>
  <c r="L54" i="1"/>
  <c r="C54" i="1"/>
  <c r="AF53" i="1"/>
  <c r="AD53" i="1"/>
  <c r="AB53" i="1"/>
  <c r="AC53" i="1" s="1"/>
  <c r="AA53" i="1"/>
  <c r="Z53" i="1"/>
  <c r="Y53" i="1"/>
  <c r="X53" i="1"/>
  <c r="W53" i="1"/>
  <c r="AE53" i="1" s="1"/>
  <c r="S53" i="1"/>
  <c r="L53" i="1"/>
  <c r="C53" i="1"/>
  <c r="AD52" i="1"/>
  <c r="AB52" i="1"/>
  <c r="AC52" i="1" s="1"/>
  <c r="AA52" i="1"/>
  <c r="Z52" i="1"/>
  <c r="Y52" i="1"/>
  <c r="X52" i="1"/>
  <c r="W52" i="1"/>
  <c r="AE52" i="1" s="1"/>
  <c r="S52" i="1"/>
  <c r="L52" i="1"/>
  <c r="C52" i="1"/>
  <c r="AD51" i="1"/>
  <c r="AB51" i="1"/>
  <c r="AC51" i="1" s="1"/>
  <c r="AA51" i="1"/>
  <c r="Z51" i="1"/>
  <c r="X51" i="1"/>
  <c r="W51" i="1"/>
  <c r="Y51" i="1" s="1"/>
  <c r="S51" i="1"/>
  <c r="L51" i="1"/>
  <c r="C51" i="1"/>
  <c r="AE50" i="1"/>
  <c r="AD50" i="1"/>
  <c r="AB50" i="1"/>
  <c r="AA50" i="1"/>
  <c r="Z50" i="1"/>
  <c r="X50" i="1"/>
  <c r="W50" i="1"/>
  <c r="S50" i="1"/>
  <c r="L50" i="1"/>
  <c r="C50" i="1"/>
  <c r="AD49" i="1"/>
  <c r="AB49" i="1"/>
  <c r="AA49" i="1"/>
  <c r="Z49" i="1"/>
  <c r="X49" i="1"/>
  <c r="W49" i="1"/>
  <c r="AF49" i="1" s="1"/>
  <c r="S49" i="1"/>
  <c r="L49" i="1"/>
  <c r="C49" i="1"/>
  <c r="AD48" i="1"/>
  <c r="AB48" i="1"/>
  <c r="AC48" i="1" s="1"/>
  <c r="AA48" i="1"/>
  <c r="Z48" i="1"/>
  <c r="Y48" i="1"/>
  <c r="X48" i="1"/>
  <c r="W48" i="1"/>
  <c r="AF48" i="1" s="1"/>
  <c r="S48" i="1"/>
  <c r="L48" i="1"/>
  <c r="C48" i="1"/>
  <c r="AD47" i="1"/>
  <c r="AB47" i="1"/>
  <c r="AA47" i="1"/>
  <c r="Z47" i="1"/>
  <c r="X47" i="1"/>
  <c r="W47" i="1"/>
  <c r="S47" i="1"/>
  <c r="L47" i="1"/>
  <c r="C47" i="1"/>
  <c r="AD46" i="1"/>
  <c r="AB46" i="1"/>
  <c r="AA46" i="1"/>
  <c r="Z46" i="1"/>
  <c r="X46" i="1"/>
  <c r="W46" i="1"/>
  <c r="AE46" i="1" s="1"/>
  <c r="S46" i="1"/>
  <c r="L46" i="1"/>
  <c r="C46" i="1"/>
  <c r="AF45" i="1"/>
  <c r="AD45" i="1"/>
  <c r="AB45" i="1"/>
  <c r="AA45" i="1"/>
  <c r="Z45" i="1"/>
  <c r="X45" i="1"/>
  <c r="W45" i="1"/>
  <c r="AE45" i="1" s="1"/>
  <c r="S45" i="1"/>
  <c r="L45" i="1"/>
  <c r="C45" i="1"/>
  <c r="AD44" i="1"/>
  <c r="AB44" i="1"/>
  <c r="AA44" i="1"/>
  <c r="Z44" i="1"/>
  <c r="X44" i="1"/>
  <c r="W44" i="1"/>
  <c r="AE44" i="1" s="1"/>
  <c r="S44" i="1"/>
  <c r="L44" i="1"/>
  <c r="C44" i="1"/>
  <c r="AF43" i="1"/>
  <c r="AD43" i="1"/>
  <c r="AB43" i="1"/>
  <c r="AC43" i="1" s="1"/>
  <c r="AA43" i="1"/>
  <c r="Z43" i="1"/>
  <c r="X43" i="1"/>
  <c r="W43" i="1"/>
  <c r="Y43" i="1" s="1"/>
  <c r="S43" i="1"/>
  <c r="L43" i="1"/>
  <c r="C43" i="1"/>
  <c r="AD42" i="1"/>
  <c r="AB42" i="1"/>
  <c r="AA42" i="1"/>
  <c r="Z42" i="1"/>
  <c r="X42" i="1"/>
  <c r="W42" i="1"/>
  <c r="S42" i="1"/>
  <c r="L42" i="1"/>
  <c r="C42" i="1"/>
  <c r="AD41" i="1"/>
  <c r="AB41" i="1"/>
  <c r="AA41" i="1"/>
  <c r="Z41" i="1"/>
  <c r="X41" i="1"/>
  <c r="W41" i="1"/>
  <c r="AF41" i="1" s="1"/>
  <c r="S41" i="1"/>
  <c r="L41" i="1"/>
  <c r="C41" i="1"/>
  <c r="AD40" i="1"/>
  <c r="AB40" i="1"/>
  <c r="AC40" i="1" s="1"/>
  <c r="AA40" i="1"/>
  <c r="Z40" i="1"/>
  <c r="Y40" i="1"/>
  <c r="X40" i="1"/>
  <c r="W40" i="1"/>
  <c r="AF40" i="1" s="1"/>
  <c r="S40" i="1"/>
  <c r="L40" i="1"/>
  <c r="C40" i="1"/>
  <c r="AD39" i="1"/>
  <c r="AB39" i="1"/>
  <c r="AA39" i="1"/>
  <c r="Z39" i="1"/>
  <c r="X39" i="1"/>
  <c r="W39" i="1"/>
  <c r="S39" i="1"/>
  <c r="L39" i="1"/>
  <c r="C39" i="1"/>
  <c r="AE38" i="1"/>
  <c r="AD38" i="1"/>
  <c r="AB38" i="1"/>
  <c r="AA38" i="1"/>
  <c r="Z38" i="1"/>
  <c r="X38" i="1"/>
  <c r="W38" i="1"/>
  <c r="S38" i="1"/>
  <c r="L38" i="1"/>
  <c r="C38" i="1"/>
  <c r="AD37" i="1"/>
  <c r="AB37" i="1"/>
  <c r="AC37" i="1" s="1"/>
  <c r="AA37" i="1"/>
  <c r="Z37" i="1"/>
  <c r="Y37" i="1"/>
  <c r="X37" i="1"/>
  <c r="W37" i="1"/>
  <c r="AE37" i="1" s="1"/>
  <c r="S37" i="1"/>
  <c r="L37" i="1"/>
  <c r="C37" i="1"/>
  <c r="AD36" i="1"/>
  <c r="AB36" i="1"/>
  <c r="AC36" i="1" s="1"/>
  <c r="AA36" i="1"/>
  <c r="Z36" i="1"/>
  <c r="X36" i="1"/>
  <c r="W36" i="1"/>
  <c r="AE36" i="1" s="1"/>
  <c r="S36" i="1"/>
  <c r="L36" i="1"/>
  <c r="C36" i="1"/>
  <c r="AF35" i="1"/>
  <c r="AD35" i="1"/>
  <c r="AB35" i="1"/>
  <c r="AA35" i="1"/>
  <c r="Z35" i="1"/>
  <c r="X35" i="1"/>
  <c r="W35" i="1"/>
  <c r="Y35" i="1" s="1"/>
  <c r="S35" i="1"/>
  <c r="L35" i="1"/>
  <c r="C35" i="1"/>
  <c r="AE34" i="1"/>
  <c r="AD34" i="1"/>
  <c r="AB34" i="1"/>
  <c r="AA34" i="1"/>
  <c r="Z34" i="1"/>
  <c r="X34" i="1"/>
  <c r="W34" i="1"/>
  <c r="S34" i="1"/>
  <c r="L34" i="1"/>
  <c r="C34" i="1"/>
  <c r="AD33" i="1"/>
  <c r="AB33" i="1"/>
  <c r="AA33" i="1"/>
  <c r="Z33" i="1"/>
  <c r="X33" i="1"/>
  <c r="W33" i="1"/>
  <c r="AE33" i="1" s="1"/>
  <c r="S33" i="1"/>
  <c r="L33" i="1"/>
  <c r="C33" i="1"/>
  <c r="AD32" i="1"/>
  <c r="AB32" i="1"/>
  <c r="AC32" i="1" s="1"/>
  <c r="AA32" i="1"/>
  <c r="Z32" i="1"/>
  <c r="X32" i="1"/>
  <c r="W32" i="1"/>
  <c r="AF32" i="1" s="1"/>
  <c r="S32" i="1"/>
  <c r="L32" i="1"/>
  <c r="C32" i="1"/>
  <c r="AD31" i="1"/>
  <c r="AB31" i="1"/>
  <c r="AA31" i="1"/>
  <c r="Z31" i="1"/>
  <c r="X31" i="1"/>
  <c r="W31" i="1"/>
  <c r="Y31" i="1" s="1"/>
  <c r="S31" i="1"/>
  <c r="L31" i="1"/>
  <c r="C31" i="1"/>
  <c r="AD30" i="1"/>
  <c r="AB30" i="1"/>
  <c r="AA30" i="1"/>
  <c r="Z30" i="1"/>
  <c r="Y30" i="1"/>
  <c r="X30" i="1"/>
  <c r="W30" i="1"/>
  <c r="AE30" i="1" s="1"/>
  <c r="S30" i="1"/>
  <c r="L30" i="1"/>
  <c r="C30" i="1"/>
  <c r="AD29" i="1"/>
  <c r="AB29" i="1"/>
  <c r="AC29" i="1" s="1"/>
  <c r="AA29" i="1"/>
  <c r="Z29" i="1"/>
  <c r="X29" i="1"/>
  <c r="W29" i="1"/>
  <c r="AE29" i="1" s="1"/>
  <c r="S29" i="1"/>
  <c r="L29" i="1"/>
  <c r="C29" i="1"/>
  <c r="AD28" i="1"/>
  <c r="AB28" i="1"/>
  <c r="AA28" i="1"/>
  <c r="Z28" i="1"/>
  <c r="X28" i="1"/>
  <c r="W28" i="1"/>
  <c r="AE28" i="1" s="1"/>
  <c r="S28" i="1"/>
  <c r="L28" i="1"/>
  <c r="C28" i="1"/>
  <c r="AF27" i="1"/>
  <c r="AD27" i="1"/>
  <c r="AB27" i="1"/>
  <c r="AC27" i="1" s="1"/>
  <c r="AA27" i="1"/>
  <c r="Z27" i="1"/>
  <c r="X27" i="1"/>
  <c r="W27" i="1"/>
  <c r="Y27" i="1" s="1"/>
  <c r="S27" i="1"/>
  <c r="L27" i="1"/>
  <c r="C27" i="1"/>
  <c r="AE26" i="1"/>
  <c r="AD26" i="1"/>
  <c r="AB26" i="1"/>
  <c r="AA26" i="1"/>
  <c r="Z26" i="1"/>
  <c r="X26" i="1"/>
  <c r="W26" i="1"/>
  <c r="S26" i="1"/>
  <c r="L26" i="1"/>
  <c r="C26" i="1"/>
  <c r="AF25" i="1"/>
  <c r="AD25" i="1"/>
  <c r="AB25" i="1"/>
  <c r="AA25" i="1"/>
  <c r="Z25" i="1"/>
  <c r="X25" i="1"/>
  <c r="W25" i="1"/>
  <c r="AE25" i="1" s="1"/>
  <c r="S25" i="1"/>
  <c r="L25" i="1"/>
  <c r="C25" i="1"/>
  <c r="AD24" i="1"/>
  <c r="AC24" i="1"/>
  <c r="AB24" i="1"/>
  <c r="AA24" i="1"/>
  <c r="Z24" i="1"/>
  <c r="Y24" i="1"/>
  <c r="X24" i="1"/>
  <c r="W24" i="1"/>
  <c r="AF24" i="1" s="1"/>
  <c r="S24" i="1"/>
  <c r="L24" i="1"/>
  <c r="C24" i="1"/>
  <c r="AD23" i="1"/>
  <c r="AB23" i="1"/>
  <c r="AA23" i="1"/>
  <c r="Z23" i="1"/>
  <c r="X23" i="1"/>
  <c r="W23" i="1"/>
  <c r="Y23" i="1" s="1"/>
  <c r="S23" i="1"/>
  <c r="L23" i="1"/>
  <c r="C23" i="1"/>
  <c r="AD22" i="1"/>
  <c r="AB22" i="1"/>
  <c r="AA22" i="1"/>
  <c r="Z22" i="1"/>
  <c r="X22" i="1"/>
  <c r="W22" i="1"/>
  <c r="AE22" i="1" s="1"/>
  <c r="S22" i="1"/>
  <c r="L22" i="1"/>
  <c r="C22" i="1"/>
  <c r="AD21" i="1"/>
  <c r="AB21" i="1"/>
  <c r="AA21" i="1"/>
  <c r="Z21" i="1"/>
  <c r="X21" i="1"/>
  <c r="W21" i="1"/>
  <c r="AE21" i="1" s="1"/>
  <c r="S21" i="1"/>
  <c r="L21" i="1"/>
  <c r="C21" i="1"/>
  <c r="AD20" i="1"/>
  <c r="AB20" i="1"/>
  <c r="AC20" i="1" s="1"/>
  <c r="AA20" i="1"/>
  <c r="Z20" i="1"/>
  <c r="X20" i="1"/>
  <c r="W20" i="1"/>
  <c r="AE20" i="1" s="1"/>
  <c r="S20" i="1"/>
  <c r="L20" i="1"/>
  <c r="C20" i="1"/>
  <c r="AF19" i="1"/>
  <c r="AD19" i="1"/>
  <c r="AB19" i="1"/>
  <c r="AA19" i="1"/>
  <c r="Z19" i="1"/>
  <c r="X19" i="1"/>
  <c r="W19" i="1"/>
  <c r="Y19" i="1" s="1"/>
  <c r="S19" i="1"/>
  <c r="L19" i="1"/>
  <c r="C19" i="1"/>
  <c r="AD18" i="1"/>
  <c r="AB18" i="1"/>
  <c r="AA18" i="1"/>
  <c r="Z18" i="1"/>
  <c r="X18" i="1"/>
  <c r="W18" i="1"/>
  <c r="AE18" i="1" s="1"/>
  <c r="S18" i="1"/>
  <c r="L18" i="1"/>
  <c r="C18" i="1"/>
  <c r="AF17" i="1"/>
  <c r="AE17" i="1"/>
  <c r="AD17" i="1"/>
  <c r="AB17" i="1"/>
  <c r="AA17" i="1"/>
  <c r="Z17" i="1"/>
  <c r="X17" i="1"/>
  <c r="W17" i="1"/>
  <c r="S17" i="1"/>
  <c r="L17" i="1"/>
  <c r="C17" i="1"/>
  <c r="AD16" i="1"/>
  <c r="AB16" i="1"/>
  <c r="AA16" i="1"/>
  <c r="Z16" i="1"/>
  <c r="X16" i="1"/>
  <c r="W16" i="1"/>
  <c r="AF16" i="1" s="1"/>
  <c r="S16" i="1"/>
  <c r="L16" i="1"/>
  <c r="C16" i="1"/>
  <c r="AD15" i="1"/>
  <c r="AB15" i="1"/>
  <c r="AA15" i="1"/>
  <c r="Z15" i="1"/>
  <c r="Y15" i="1"/>
  <c r="X15" i="1"/>
  <c r="W15" i="1"/>
  <c r="S15" i="1"/>
  <c r="L15" i="1"/>
  <c r="C15" i="1"/>
  <c r="AD14" i="1"/>
  <c r="AB14" i="1"/>
  <c r="AA14" i="1"/>
  <c r="Z14" i="1"/>
  <c r="X14" i="1"/>
  <c r="W14" i="1"/>
  <c r="AE14" i="1" s="1"/>
  <c r="S14" i="1"/>
  <c r="L14" i="1"/>
  <c r="C14" i="1"/>
  <c r="AF13" i="1"/>
  <c r="AD13" i="1"/>
  <c r="AB13" i="1"/>
  <c r="AA13" i="1"/>
  <c r="Z13" i="1"/>
  <c r="Y13" i="1"/>
  <c r="X13" i="1"/>
  <c r="W13" i="1"/>
  <c r="AE13" i="1" s="1"/>
  <c r="S13" i="1"/>
  <c r="L13" i="1"/>
  <c r="C13" i="1"/>
  <c r="AD12" i="1"/>
  <c r="AC12" i="1"/>
  <c r="AB12" i="1"/>
  <c r="AA12" i="1"/>
  <c r="Z12" i="1"/>
  <c r="X12" i="1"/>
  <c r="W12" i="1"/>
  <c r="AE12" i="1" s="1"/>
  <c r="S12" i="1"/>
  <c r="L12" i="1"/>
  <c r="C12" i="1"/>
  <c r="AD11" i="1"/>
  <c r="AB11" i="1"/>
  <c r="AA11" i="1"/>
  <c r="Z11" i="1"/>
  <c r="X11" i="1"/>
  <c r="W11" i="1"/>
  <c r="Y11" i="1" s="1"/>
  <c r="S11" i="1"/>
  <c r="L11" i="1"/>
  <c r="C11" i="1"/>
  <c r="AD10" i="1"/>
  <c r="AB10" i="1"/>
  <c r="AA10" i="1"/>
  <c r="Z10" i="1"/>
  <c r="X10" i="1"/>
  <c r="W10" i="1"/>
  <c r="AC10" i="1" s="1"/>
  <c r="S10" i="1"/>
  <c r="L10" i="1"/>
  <c r="C10" i="1"/>
  <c r="AF9" i="1"/>
  <c r="AE9" i="1"/>
  <c r="AD9" i="1"/>
  <c r="AB9" i="1"/>
  <c r="AA9" i="1"/>
  <c r="Z9" i="1"/>
  <c r="X9" i="1"/>
  <c r="W9" i="1"/>
  <c r="S9" i="1"/>
  <c r="L9" i="1"/>
  <c r="C9" i="1"/>
  <c r="AD8" i="1"/>
  <c r="AB8" i="1"/>
  <c r="AA8" i="1"/>
  <c r="Z8" i="1"/>
  <c r="X8" i="1"/>
  <c r="W8" i="1"/>
  <c r="AF8" i="1" s="1"/>
  <c r="S8" i="1"/>
  <c r="L8" i="1"/>
  <c r="C8" i="1"/>
  <c r="AD7" i="1"/>
  <c r="AB7" i="1"/>
  <c r="AA7" i="1"/>
  <c r="Z7" i="1"/>
  <c r="X7" i="1"/>
  <c r="W7" i="1"/>
  <c r="Y7" i="1" s="1"/>
  <c r="S7" i="1"/>
  <c r="L7" i="1"/>
  <c r="C7" i="1"/>
  <c r="AD6" i="1"/>
  <c r="AB6" i="1"/>
  <c r="AA6" i="1"/>
  <c r="Z6" i="1"/>
  <c r="X6" i="1"/>
  <c r="W6" i="1"/>
  <c r="S6" i="1"/>
  <c r="L6" i="1"/>
  <c r="C6" i="1"/>
  <c r="AA5" i="1"/>
  <c r="Y5" i="1"/>
  <c r="W5" i="1"/>
  <c r="AF5" i="1" s="1"/>
  <c r="S5" i="1"/>
  <c r="AF28" i="1" l="1"/>
  <c r="AC11" i="1"/>
  <c r="AF44" i="1"/>
  <c r="AC47" i="1"/>
  <c r="X5" i="1"/>
  <c r="AD5" i="1" s="1"/>
  <c r="B7" i="3" s="1"/>
  <c r="AF21" i="1"/>
  <c r="Y44" i="1"/>
  <c r="Y47" i="1"/>
  <c r="AE49" i="1"/>
  <c r="AF52" i="1"/>
  <c r="AC56" i="1"/>
  <c r="AC64" i="1"/>
  <c r="Y83" i="1"/>
  <c r="Y87" i="1"/>
  <c r="AE106" i="1"/>
  <c r="AC118" i="1"/>
  <c r="Y119" i="1"/>
  <c r="AC127" i="1"/>
  <c r="Y128" i="1"/>
  <c r="Y131" i="1"/>
  <c r="AC134" i="1"/>
  <c r="Y135" i="1"/>
  <c r="AC140" i="1"/>
  <c r="AF150" i="1"/>
  <c r="AC156" i="1"/>
  <c r="AC166" i="1"/>
  <c r="AF168" i="1"/>
  <c r="AC171" i="1"/>
  <c r="AC174" i="1"/>
  <c r="AF176" i="1"/>
  <c r="AC184" i="1"/>
  <c r="AE186" i="1"/>
  <c r="AC187" i="1"/>
  <c r="AF198" i="1"/>
  <c r="AF204" i="1"/>
  <c r="AF127" i="1"/>
  <c r="AE130" i="1"/>
  <c r="AE134" i="1"/>
  <c r="AE153" i="1"/>
  <c r="AE156" i="1"/>
  <c r="AF166" i="1"/>
  <c r="AF174" i="1"/>
  <c r="AF184" i="1"/>
  <c r="AE192" i="1"/>
  <c r="AF12" i="1"/>
  <c r="AF111" i="1"/>
  <c r="Z5" i="1"/>
  <c r="Y21" i="1"/>
  <c r="Y28" i="1"/>
  <c r="AF79" i="1"/>
  <c r="Y103" i="1"/>
  <c r="Y139" i="1"/>
  <c r="Y146" i="1"/>
  <c r="Y155" i="1"/>
  <c r="AF159" i="1"/>
  <c r="Y168" i="1"/>
  <c r="Y176" i="1"/>
  <c r="AC13" i="1"/>
  <c r="AF29" i="1"/>
  <c r="AF36" i="1"/>
  <c r="AC44" i="1"/>
  <c r="Y45" i="1"/>
  <c r="AF51" i="1"/>
  <c r="Y60" i="1"/>
  <c r="Y67" i="1"/>
  <c r="Y71" i="1"/>
  <c r="AF72" i="1"/>
  <c r="AC87" i="1"/>
  <c r="Y88" i="1"/>
  <c r="Y96" i="1"/>
  <c r="Y99" i="1"/>
  <c r="AF104" i="1"/>
  <c r="AC119" i="1"/>
  <c r="Y120" i="1"/>
  <c r="Y123" i="1"/>
  <c r="Y127" i="1"/>
  <c r="AC131" i="1"/>
  <c r="AC135" i="1"/>
  <c r="Y136" i="1"/>
  <c r="Y143" i="1"/>
  <c r="AF144" i="1"/>
  <c r="AF151" i="1"/>
  <c r="Y171" i="1"/>
  <c r="AF20" i="1"/>
  <c r="AC39" i="1"/>
  <c r="Y56" i="1"/>
  <c r="Y64" i="1"/>
  <c r="Y79" i="1"/>
  <c r="AC110" i="1"/>
  <c r="Y111" i="1"/>
  <c r="Y140" i="1"/>
  <c r="Y147" i="1"/>
  <c r="AC158" i="1"/>
  <c r="Y159" i="1"/>
  <c r="Y162" i="1"/>
  <c r="AC165" i="1"/>
  <c r="Y184" i="1"/>
  <c r="AC191" i="1"/>
  <c r="Y202" i="1"/>
  <c r="Y12" i="1"/>
  <c r="AF87" i="1"/>
  <c r="AF119" i="1"/>
  <c r="AF135" i="1"/>
  <c r="AC139" i="1"/>
  <c r="AC150" i="1"/>
  <c r="AC155" i="1"/>
  <c r="AC168" i="1"/>
  <c r="AC176" i="1"/>
  <c r="AE180" i="1"/>
  <c r="AF188" i="1"/>
  <c r="AC194" i="1"/>
  <c r="AC198" i="1"/>
  <c r="Y199" i="1"/>
  <c r="AF103" i="1"/>
  <c r="AC21" i="1"/>
  <c r="AF11" i="1"/>
  <c r="AC19" i="1"/>
  <c r="Y20" i="1"/>
  <c r="AC28" i="1"/>
  <c r="Y29" i="1"/>
  <c r="AC35" i="1"/>
  <c r="Y36" i="1"/>
  <c r="AF37" i="1"/>
  <c r="Y39" i="1"/>
  <c r="AE41" i="1"/>
  <c r="AC45" i="1"/>
  <c r="AF63" i="1"/>
  <c r="AC67" i="1"/>
  <c r="AC71" i="1"/>
  <c r="Y72" i="1"/>
  <c r="AE78" i="1"/>
  <c r="AC88" i="1"/>
  <c r="AC96" i="1"/>
  <c r="AC99" i="1"/>
  <c r="AC103" i="1"/>
  <c r="Y104" i="1"/>
  <c r="AE110" i="1"/>
  <c r="AC120" i="1"/>
  <c r="AC123" i="1"/>
  <c r="AC136" i="1"/>
  <c r="AC143" i="1"/>
  <c r="Y144" i="1"/>
  <c r="AF152" i="1"/>
  <c r="AF158" i="1"/>
  <c r="Y163" i="1"/>
  <c r="AE165" i="1"/>
  <c r="AE173" i="1"/>
  <c r="AC181" i="1"/>
  <c r="AF183" i="1"/>
  <c r="AC189" i="1"/>
  <c r="AF191" i="1"/>
  <c r="AE201" i="1"/>
  <c r="J27" i="3"/>
  <c r="C18" i="3"/>
  <c r="AC31" i="1"/>
  <c r="AC23" i="1"/>
  <c r="AC193" i="1"/>
  <c r="AC55" i="1"/>
  <c r="D18" i="3"/>
  <c r="AB5" i="1"/>
  <c r="AF6" i="1"/>
  <c r="AC6" i="1"/>
  <c r="Y10" i="1"/>
  <c r="AF10" i="1"/>
  <c r="AC15" i="1"/>
  <c r="AC16" i="1"/>
  <c r="Y22" i="1"/>
  <c r="Y33" i="1"/>
  <c r="AC33" i="1"/>
  <c r="AC65" i="1"/>
  <c r="AE65" i="1"/>
  <c r="Y65" i="1"/>
  <c r="Y69" i="1"/>
  <c r="AE69" i="1"/>
  <c r="AC69" i="1"/>
  <c r="AC129" i="1"/>
  <c r="AE129" i="1"/>
  <c r="Y129" i="1"/>
  <c r="AC89" i="1"/>
  <c r="AE89" i="1"/>
  <c r="Y89" i="1"/>
  <c r="Y26" i="1"/>
  <c r="AF26" i="1"/>
  <c r="AE6" i="1"/>
  <c r="Y8" i="1"/>
  <c r="AE24" i="1"/>
  <c r="AC34" i="1"/>
  <c r="Y34" i="1"/>
  <c r="AF34" i="1"/>
  <c r="Y54" i="1"/>
  <c r="AF54" i="1"/>
  <c r="AC54" i="1"/>
  <c r="AC62" i="1"/>
  <c r="AC73" i="1"/>
  <c r="AE73" i="1"/>
  <c r="Y73" i="1"/>
  <c r="Y77" i="1"/>
  <c r="AE77" i="1"/>
  <c r="AC77" i="1"/>
  <c r="Y100" i="1"/>
  <c r="AF100" i="1"/>
  <c r="AC100" i="1"/>
  <c r="AC121" i="1"/>
  <c r="AE121" i="1"/>
  <c r="Y121" i="1"/>
  <c r="AC42" i="1"/>
  <c r="Y42" i="1"/>
  <c r="AF42" i="1"/>
  <c r="AE16" i="1"/>
  <c r="Y57" i="1"/>
  <c r="AC57" i="1"/>
  <c r="Y16" i="1"/>
  <c r="Y49" i="1"/>
  <c r="AC49" i="1"/>
  <c r="Y84" i="1"/>
  <c r="AF84" i="1"/>
  <c r="AC84" i="1"/>
  <c r="AC97" i="1"/>
  <c r="AE97" i="1"/>
  <c r="Y97" i="1"/>
  <c r="Y125" i="1"/>
  <c r="AE125" i="1"/>
  <c r="AC125" i="1"/>
  <c r="AC105" i="1"/>
  <c r="AE105" i="1"/>
  <c r="Y105" i="1"/>
  <c r="Y9" i="1"/>
  <c r="AC9" i="1"/>
  <c r="AF14" i="1"/>
  <c r="AC14" i="1"/>
  <c r="Y46" i="1"/>
  <c r="AF46" i="1"/>
  <c r="AC46" i="1"/>
  <c r="AC58" i="1"/>
  <c r="Y58" i="1"/>
  <c r="AF58" i="1"/>
  <c r="Y101" i="1"/>
  <c r="AE101" i="1"/>
  <c r="AC101" i="1"/>
  <c r="AC137" i="1"/>
  <c r="AE137" i="1"/>
  <c r="Y137" i="1"/>
  <c r="Y76" i="1"/>
  <c r="AF76" i="1"/>
  <c r="AC76" i="1"/>
  <c r="Y133" i="1"/>
  <c r="AE133" i="1"/>
  <c r="AC133" i="1"/>
  <c r="AE32" i="1"/>
  <c r="K28" i="3"/>
  <c r="E16" i="3"/>
  <c r="D36" i="3"/>
  <c r="B8" i="3"/>
  <c r="AC5" i="1"/>
  <c r="B10" i="3" s="1"/>
  <c r="Y6" i="1"/>
  <c r="Y41" i="1"/>
  <c r="AC41" i="1"/>
  <c r="Y62" i="1"/>
  <c r="AE62" i="1"/>
  <c r="Y68" i="1"/>
  <c r="AF68" i="1"/>
  <c r="AC68" i="1"/>
  <c r="AC81" i="1"/>
  <c r="AE81" i="1"/>
  <c r="Y81" i="1"/>
  <c r="Y85" i="1"/>
  <c r="AE85" i="1"/>
  <c r="AC85" i="1"/>
  <c r="AC113" i="1"/>
  <c r="AE113" i="1"/>
  <c r="Y113" i="1"/>
  <c r="AE8" i="1"/>
  <c r="Y18" i="1"/>
  <c r="AF18" i="1"/>
  <c r="Y93" i="1"/>
  <c r="AE93" i="1"/>
  <c r="AC93" i="1"/>
  <c r="Y109" i="1"/>
  <c r="AE109" i="1"/>
  <c r="AC109" i="1"/>
  <c r="E31" i="3"/>
  <c r="C28" i="3"/>
  <c r="F28" i="3" s="1"/>
  <c r="E27" i="3"/>
  <c r="D31" i="3"/>
  <c r="B28" i="3"/>
  <c r="D27" i="3"/>
  <c r="C31" i="3"/>
  <c r="F31" i="3" s="1"/>
  <c r="C27" i="3"/>
  <c r="F27" i="3" s="1"/>
  <c r="B31" i="3"/>
  <c r="D30" i="3"/>
  <c r="B27" i="3"/>
  <c r="C30" i="3"/>
  <c r="F30" i="3" s="1"/>
  <c r="E29" i="3"/>
  <c r="B30" i="3"/>
  <c r="D29" i="3"/>
  <c r="B29" i="3"/>
  <c r="E28" i="3"/>
  <c r="D28" i="3"/>
  <c r="C29" i="3"/>
  <c r="F29" i="3" s="1"/>
  <c r="Y17" i="1"/>
  <c r="AC17" i="1"/>
  <c r="AC18" i="1"/>
  <c r="AF22" i="1"/>
  <c r="AC22" i="1"/>
  <c r="Y32" i="1"/>
  <c r="AC7" i="1"/>
  <c r="AC8" i="1"/>
  <c r="AE10" i="1"/>
  <c r="Y14" i="1"/>
  <c r="Y25" i="1"/>
  <c r="AC25" i="1"/>
  <c r="AC26" i="1"/>
  <c r="AF30" i="1"/>
  <c r="AC30" i="1"/>
  <c r="AF33" i="1"/>
  <c r="Y38" i="1"/>
  <c r="AF38" i="1"/>
  <c r="AC38" i="1"/>
  <c r="AE42" i="1"/>
  <c r="AC50" i="1"/>
  <c r="Y50" i="1"/>
  <c r="AF50" i="1"/>
  <c r="AE76" i="1"/>
  <c r="AF89" i="1"/>
  <c r="Y92" i="1"/>
  <c r="AF92" i="1"/>
  <c r="AC92" i="1"/>
  <c r="AF93" i="1"/>
  <c r="AF105" i="1"/>
  <c r="Y117" i="1"/>
  <c r="AE117" i="1"/>
  <c r="AC117" i="1"/>
  <c r="AF133" i="1"/>
  <c r="Y141" i="1"/>
  <c r="AE141" i="1"/>
  <c r="AC141" i="1"/>
  <c r="AF161" i="1"/>
  <c r="AC161" i="1"/>
  <c r="AE23" i="1"/>
  <c r="AE39" i="1"/>
  <c r="AE55" i="1"/>
  <c r="AC86" i="1"/>
  <c r="AC94" i="1"/>
  <c r="AC108" i="1"/>
  <c r="AE7" i="1"/>
  <c r="AE15" i="1"/>
  <c r="AE31" i="1"/>
  <c r="AE47" i="1"/>
  <c r="AE60" i="1"/>
  <c r="AC70" i="1"/>
  <c r="AC78" i="1"/>
  <c r="AC116" i="1"/>
  <c r="AC124" i="1"/>
  <c r="AC132" i="1"/>
  <c r="AF7" i="1"/>
  <c r="AF15" i="1"/>
  <c r="AF23" i="1"/>
  <c r="AF31" i="1"/>
  <c r="AF39" i="1"/>
  <c r="AF47" i="1"/>
  <c r="AF55" i="1"/>
  <c r="AF60" i="1"/>
  <c r="Y145" i="1"/>
  <c r="AF148" i="1"/>
  <c r="AE155" i="1"/>
  <c r="AF157" i="1"/>
  <c r="Y161" i="1"/>
  <c r="AF164" i="1"/>
  <c r="AE171" i="1"/>
  <c r="AF173" i="1"/>
  <c r="Y177" i="1"/>
  <c r="AF180" i="1"/>
  <c r="Y196" i="1"/>
  <c r="AE108" i="1"/>
  <c r="AE116" i="1"/>
  <c r="AE124" i="1"/>
  <c r="AE132" i="1"/>
  <c r="AE140" i="1"/>
  <c r="AF146" i="1"/>
  <c r="AC146" i="1"/>
  <c r="AC149" i="1"/>
  <c r="AF162" i="1"/>
  <c r="AC162" i="1"/>
  <c r="AF178" i="1"/>
  <c r="AC178" i="1"/>
  <c r="AF70" i="1"/>
  <c r="AF74" i="1"/>
  <c r="AC74" i="1"/>
  <c r="AF78" i="1"/>
  <c r="AF82" i="1"/>
  <c r="AC82" i="1"/>
  <c r="AF86" i="1"/>
  <c r="AF90" i="1"/>
  <c r="AC90" i="1"/>
  <c r="AF94" i="1"/>
  <c r="AF98" i="1"/>
  <c r="AC98" i="1"/>
  <c r="AF102" i="1"/>
  <c r="AF106" i="1"/>
  <c r="AC106" i="1"/>
  <c r="AF108" i="1"/>
  <c r="AF110" i="1"/>
  <c r="AF114" i="1"/>
  <c r="AC114" i="1"/>
  <c r="AF116" i="1"/>
  <c r="AF118" i="1"/>
  <c r="AF122" i="1"/>
  <c r="AC122" i="1"/>
  <c r="AF124" i="1"/>
  <c r="AF126" i="1"/>
  <c r="AF130" i="1"/>
  <c r="AC130" i="1"/>
  <c r="AF132" i="1"/>
  <c r="AF134" i="1"/>
  <c r="AF138" i="1"/>
  <c r="AC138" i="1"/>
  <c r="AF142" i="1"/>
  <c r="AC147" i="1"/>
  <c r="AF153" i="1"/>
  <c r="AC153" i="1"/>
  <c r="AC163" i="1"/>
  <c r="AF169" i="1"/>
  <c r="AC169" i="1"/>
  <c r="AC179" i="1"/>
  <c r="AF185" i="1"/>
  <c r="AC185" i="1"/>
  <c r="AF190" i="1"/>
  <c r="AF192" i="1"/>
  <c r="AC192" i="1"/>
  <c r="Y197" i="1"/>
  <c r="AE197" i="1"/>
  <c r="AF66" i="1"/>
  <c r="AC66" i="1"/>
  <c r="AE11" i="1"/>
  <c r="AE19" i="1"/>
  <c r="AE27" i="1"/>
  <c r="AE35" i="1"/>
  <c r="AE43" i="1"/>
  <c r="AE51" i="1"/>
  <c r="AE59" i="1"/>
  <c r="Y178" i="1"/>
  <c r="AF195" i="1"/>
  <c r="AC195" i="1"/>
  <c r="AE200" i="1"/>
  <c r="AE147" i="1"/>
  <c r="AF149" i="1"/>
  <c r="AF156" i="1"/>
  <c r="AE163" i="1"/>
  <c r="AF165" i="1"/>
  <c r="AF172" i="1"/>
  <c r="AE179" i="1"/>
  <c r="AF181" i="1"/>
  <c r="AC196" i="1"/>
  <c r="AF200" i="1"/>
  <c r="E7" i="3"/>
  <c r="E9" i="3"/>
  <c r="E8" i="3"/>
  <c r="Q5" i="2"/>
  <c r="AE40" i="1"/>
  <c r="AE48" i="1"/>
  <c r="AE56" i="1"/>
  <c r="AE61" i="1"/>
  <c r="Y66" i="1"/>
  <c r="Y74" i="1"/>
  <c r="Y82" i="1"/>
  <c r="Y90" i="1"/>
  <c r="C36" i="3"/>
  <c r="F36" i="3" s="1"/>
  <c r="L28" i="3"/>
  <c r="F16" i="3"/>
  <c r="J28" i="3"/>
  <c r="M28" i="3" s="1"/>
  <c r="D16" i="3"/>
  <c r="B6" i="3"/>
  <c r="B9" i="3" s="1"/>
  <c r="C16" i="3"/>
  <c r="G16" i="3" s="1"/>
  <c r="E36" i="3"/>
  <c r="AE5" i="1"/>
  <c r="Y59" i="1"/>
  <c r="AE67" i="1"/>
  <c r="AE75" i="1"/>
  <c r="AE83" i="1"/>
  <c r="AE91" i="1"/>
  <c r="AE99" i="1"/>
  <c r="AE107" i="1"/>
  <c r="AE115" i="1"/>
  <c r="AE123" i="1"/>
  <c r="AE131" i="1"/>
  <c r="AE139" i="1"/>
  <c r="AC148" i="1"/>
  <c r="AF154" i="1"/>
  <c r="AC154" i="1"/>
  <c r="AE161" i="1"/>
  <c r="AF170" i="1"/>
  <c r="AC170" i="1"/>
  <c r="AF186" i="1"/>
  <c r="AC186" i="1"/>
  <c r="AF193" i="1"/>
  <c r="Y195" i="1"/>
  <c r="AF145" i="1"/>
  <c r="AC145" i="1"/>
  <c r="AF177" i="1"/>
  <c r="AC177" i="1"/>
  <c r="AE196" i="1"/>
  <c r="Y150" i="1"/>
  <c r="Y158" i="1"/>
  <c r="Y166" i="1"/>
  <c r="Y174" i="1"/>
  <c r="Y182" i="1"/>
  <c r="Y187" i="1"/>
  <c r="AF189" i="1"/>
  <c r="Y194" i="1"/>
  <c r="Y201" i="1"/>
  <c r="AC202" i="1"/>
  <c r="Y203" i="1"/>
  <c r="AE202" i="1"/>
  <c r="AE194" i="1"/>
  <c r="AF201" i="1"/>
  <c r="G18" i="3" l="1"/>
  <c r="K27" i="3"/>
  <c r="E18" i="3"/>
  <c r="M27" i="3"/>
  <c r="F18" i="3"/>
  <c r="L27" i="3"/>
  <c r="E30" i="3"/>
</calcChain>
</file>

<file path=xl/sharedStrings.xml><?xml version="1.0" encoding="utf-8"?>
<sst xmlns="http://schemas.openxmlformats.org/spreadsheetml/2006/main" count="212" uniqueCount="155">
  <si>
    <t>Beginner Options Trade Journal - Entries + Trim Rollup</t>
  </si>
  <si>
    <t>Enter the position once here. Record every partial exit/trim on the Exit Log tab; the blue rollup columns update automatically.</t>
  </si>
  <si>
    <t>Trade ID</t>
  </si>
  <si>
    <t>Entry Date</t>
  </si>
  <si>
    <t>Day</t>
  </si>
  <si>
    <t>Entry Time</t>
  </si>
  <si>
    <t>Session Bucket</t>
  </si>
  <si>
    <t>Ticker</t>
  </si>
  <si>
    <t>Bias</t>
  </si>
  <si>
    <t>Setup</t>
  </si>
  <si>
    <t>Call/Put</t>
  </si>
  <si>
    <t>Entry Action</t>
  </si>
  <si>
    <t>Expiration</t>
  </si>
  <si>
    <t>DTE</t>
  </si>
  <si>
    <t>Strike</t>
  </si>
  <si>
    <t>ITM/ATM/OTM</t>
  </si>
  <si>
    <t>Contracts Bought</t>
  </si>
  <si>
    <t>Entry Premium</t>
  </si>
  <si>
    <t>Entry Fees</t>
  </si>
  <si>
    <t>Underlying Entry Price</t>
  </si>
  <si>
    <t>Premium at Risk $</t>
  </si>
  <si>
    <t>Stop/Invalidation</t>
  </si>
  <si>
    <t>Target / Trim Rule</t>
  </si>
  <si>
    <t>Reason for Entry</t>
  </si>
  <si>
    <t>Contracts Sold</t>
  </si>
  <si>
    <t>Contracts Open</t>
  </si>
  <si>
    <t>Avg Exit Premium</t>
  </si>
  <si>
    <t>Total Exit Proceeds $</t>
  </si>
  <si>
    <t>Total Exit Fees</t>
  </si>
  <si>
    <t>Realized P&amp;L $</t>
  </si>
  <si>
    <t>Realized Return %</t>
  </si>
  <si>
    <t>Status</t>
  </si>
  <si>
    <t>Last Exit Date</t>
  </si>
  <si>
    <t>Last Exit Time</t>
  </si>
  <si>
    <t>Followed Plan?</t>
  </si>
  <si>
    <t>Emotion</t>
  </si>
  <si>
    <t>Lesson</t>
  </si>
  <si>
    <t>Screenshot Link</t>
  </si>
  <si>
    <t>2026-001</t>
  </si>
  <si>
    <t>Morning</t>
  </si>
  <si>
    <t>Bullish</t>
  </si>
  <si>
    <t>Pullback</t>
  </si>
  <si>
    <t>Call</t>
  </si>
  <si>
    <t>Buy to Open</t>
  </si>
  <si>
    <t>OTM</t>
  </si>
  <si>
    <t>Trim 1 contract per push; hold runners while trend holds</t>
  </si>
  <si>
    <t>Mostly</t>
  </si>
  <si>
    <t>Scaling out helped reduce pressure while keeping runners.</t>
  </si>
  <si>
    <t>Paste chart link here</t>
  </si>
  <si>
    <t>Exit Log - One Row Per Trim / Partial Exit</t>
  </si>
  <si>
    <t>Use this tab every time you sell part of a position. Example: buying 10 contracts and selling 1 at 9:54, 1 at 9:55, 1 at 9:56 = three rows here with the same Trade ID.</t>
  </si>
  <si>
    <t>Exit #</t>
  </si>
  <si>
    <t>Exit Date</t>
  </si>
  <si>
    <t>Exit Time</t>
  </si>
  <si>
    <t>Exit Premium</t>
  </si>
  <si>
    <t>Exit Fees</t>
  </si>
  <si>
    <t>Underlying Exit Price</t>
  </si>
  <si>
    <t>Exit Reason</t>
  </si>
  <si>
    <t>Gross Exit Proceeds $</t>
  </si>
  <si>
    <t>Net Exit Proceeds $</t>
  </si>
  <si>
    <t>P&amp;L on This Trim $</t>
  </si>
  <si>
    <t>Return on This Trim %</t>
  </si>
  <si>
    <t>Notes</t>
  </si>
  <si>
    <t>Trim rule</t>
  </si>
  <si>
    <t>Sold 1/10 per rule.</t>
  </si>
  <si>
    <t>Second trim; still holding runners.</t>
  </si>
  <si>
    <t>Third trim; position still open.</t>
  </si>
  <si>
    <t>Options Trade Journal Review</t>
  </si>
  <si>
    <t>Summaries update from the Trade Log and Exit Log. Review weekly to spot which setups, days, times, and trim behavior are working.</t>
  </si>
  <si>
    <t>Overall Snapshot</t>
  </si>
  <si>
    <t>Trim Summary</t>
  </si>
  <si>
    <t>Total Trades</t>
  </si>
  <si>
    <t>Total Trim Exits</t>
  </si>
  <si>
    <t>Trades With Exits</t>
  </si>
  <si>
    <t>Open / Partial / Closed</t>
  </si>
  <si>
    <t>Avg Trim P&amp;L</t>
  </si>
  <si>
    <t>Net Realized P&amp;L</t>
  </si>
  <si>
    <t>Best Trim</t>
  </si>
  <si>
    <t>Win Rate (Trades With Exits)</t>
  </si>
  <si>
    <t>Worst Trim</t>
  </si>
  <si>
    <t>Avg Realized Return</t>
  </si>
  <si>
    <t>Avg Contracts per Trim</t>
  </si>
  <si>
    <t>Performance by Setup</t>
  </si>
  <si>
    <t>Trades</t>
  </si>
  <si>
    <t>Net P&amp;L</t>
  </si>
  <si>
    <t>Avg Return</t>
  </si>
  <si>
    <t>Win Rate</t>
  </si>
  <si>
    <t>Breakout</t>
  </si>
  <si>
    <t>Breakdown</t>
  </si>
  <si>
    <t>Reversal</t>
  </si>
  <si>
    <t>VWAP bounce</t>
  </si>
  <si>
    <t>Support bounce</t>
  </si>
  <si>
    <t>Resistance rejection</t>
  </si>
  <si>
    <t>News/catalyst</t>
  </si>
  <si>
    <t>Momentum</t>
  </si>
  <si>
    <t>Performance by Day</t>
  </si>
  <si>
    <t>Performance by Session</t>
  </si>
  <si>
    <t>Session</t>
  </si>
  <si>
    <t>Monday</t>
  </si>
  <si>
    <t>Opening 30 Min</t>
  </si>
  <si>
    <t>Tuesday</t>
  </si>
  <si>
    <t>Wednesday</t>
  </si>
  <si>
    <t>Midday</t>
  </si>
  <si>
    <t>Thursday</t>
  </si>
  <si>
    <t>Power Hour</t>
  </si>
  <si>
    <t>Friday</t>
  </si>
  <si>
    <t>After-hours</t>
  </si>
  <si>
    <t>Performance by Contract Type</t>
  </si>
  <si>
    <t>Put</t>
  </si>
  <si>
    <t>Rules &amp; Lessons</t>
  </si>
  <si>
    <t>Keep your trading rules and recurring lessons here. Review this before entering trades.</t>
  </si>
  <si>
    <t>Rule #</t>
  </si>
  <si>
    <t>Rule</t>
  </si>
  <si>
    <t>Why it matters</t>
  </si>
  <si>
    <t>Added Date</t>
  </si>
  <si>
    <t>No journal entry, no trade.</t>
  </si>
  <si>
    <t>Prevents impulsive entries.</t>
  </si>
  <si>
    <t>Active</t>
  </si>
  <si>
    <t>Every entry needs a written trim rule before entry.</t>
  </si>
  <si>
    <t>Scaling out works best when the exit plan is predefined.</t>
  </si>
  <si>
    <t>Record each trim immediately on the Exit Log.</t>
  </si>
  <si>
    <t>Keeps the rollup accurate and avoids forgetting partial exits.</t>
  </si>
  <si>
    <t>Stop/invalidation must be written before entry.</t>
  </si>
  <si>
    <t>Defines when the idea is wrong before emotions take over.</t>
  </si>
  <si>
    <t>Avoid far OTM contracts until I have more data.</t>
  </si>
  <si>
    <t>Reduces lottery-ticket trades while learning.</t>
  </si>
  <si>
    <t>Testing</t>
  </si>
  <si>
    <t>Setup Tag Reference</t>
  </si>
  <si>
    <t>Use these exact setup names in the Trade Log so review formulas and dropdowns stay consistent.</t>
  </si>
  <si>
    <t>Setup tag</t>
  </si>
  <si>
    <t>Meaning</t>
  </si>
  <si>
    <t>Moneyness</t>
  </si>
  <si>
    <t>Quick reminder</t>
  </si>
  <si>
    <t>Price breaks above resistance</t>
  </si>
  <si>
    <t>ITM</t>
  </si>
  <si>
    <t>Option already has intrinsic value relative to the stock price.</t>
  </si>
  <si>
    <t>Price breaks below support</t>
  </si>
  <si>
    <t>ATM</t>
  </si>
  <si>
    <t>Strike is near the current stock price.</t>
  </si>
  <si>
    <t>Entry after price retraces within trend</t>
  </si>
  <si>
    <t>Option has no intrinsic value yet; relies on movement/time/volatility.</t>
  </si>
  <si>
    <t>Attempting to catch a turn</t>
  </si>
  <si>
    <t>Price reclaims or bounces from VWAP</t>
  </si>
  <si>
    <t>Entry near support</t>
  </si>
  <si>
    <t>Entry near resistance</t>
  </si>
  <si>
    <t>Earnings, Fed, data, sector news, etc.</t>
  </si>
  <si>
    <t>Entering because price is moving strongly</t>
  </si>
  <si>
    <t>MU</t>
  </si>
  <si>
    <t>5 minute close under VWAP</t>
  </si>
  <si>
    <t>Top 3 strongest stock of the day, fit VWAP bounce strategy</t>
  </si>
  <si>
    <t>Nervous; couldn’t figure out how to exit/trim</t>
  </si>
  <si>
    <t>Target hit</t>
  </si>
  <si>
    <t>Emotional exit</t>
  </si>
  <si>
    <t>Fourth trim; position still open.</t>
  </si>
  <si>
    <t>Fifth trim: position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</si>
</sst>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5">
    <font>
      <sz val="11"/>
      <name val="Carlito"/>
    </font>
    <font>
      <b/>
      <sz val="16"/>
      <color rgb="FFFFFFFF"/>
      <name val="Carlito"/>
    </font>
    <font>
      <i/>
      <sz val="11"/>
      <color rgb="FF1F4E78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AF4F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5" borderId="0" xfId="0" applyFill="1" applyAlignment="1">
      <alignment wrapText="1"/>
    </xf>
    <xf numFmtId="18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4" fontId="0" fillId="5" borderId="0" xfId="0" applyNumberFormat="1" applyFill="1" applyAlignment="1">
      <alignment wrapText="1"/>
    </xf>
    <xf numFmtId="0" fontId="0" fillId="6" borderId="0" xfId="0" applyFill="1" applyAlignment="1">
      <alignment wrapText="1"/>
    </xf>
    <xf numFmtId="1" fontId="0" fillId="5" borderId="0" xfId="0" applyNumberFormat="1" applyFill="1" applyAlignment="1">
      <alignment wrapText="1"/>
    </xf>
    <xf numFmtId="10" fontId="0" fillId="5" borderId="0" xfId="0" applyNumberFormat="1" applyFill="1" applyAlignment="1">
      <alignment wrapText="1"/>
    </xf>
    <xf numFmtId="14" fontId="0" fillId="5" borderId="0" xfId="0" applyNumberFormat="1" applyFill="1" applyAlignment="1">
      <alignment wrapText="1"/>
    </xf>
    <xf numFmtId="18" fontId="0" fillId="5" borderId="0" xfId="0" applyNumberFormat="1" applyFill="1" applyAlignment="1">
      <alignment wrapText="1"/>
    </xf>
    <xf numFmtId="0" fontId="4" fillId="3" borderId="0" xfId="0" applyFont="1" applyFill="1" applyAlignment="1">
      <alignment wrapText="1"/>
    </xf>
    <xf numFmtId="164" fontId="4" fillId="3" borderId="0" xfId="0" applyNumberFormat="1" applyFont="1" applyFill="1" applyAlignment="1">
      <alignment wrapText="1"/>
    </xf>
    <xf numFmtId="10" fontId="0" fillId="0" borderId="0" xfId="0" applyNumberFormat="1" applyAlignment="1">
      <alignment wrapText="1"/>
    </xf>
    <xf numFmtId="0" fontId="4" fillId="3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F61374\Downloads\beginner_options_trade_journal_template_with_trims.xlsx" TargetMode="External"/><Relationship Id="rId1" Type="http://schemas.openxmlformats.org/officeDocument/2006/relationships/externalLinkPath" Target="file:///C:\Users\AF61374\Downloads\beginner_options_trade_journal_template_with_tri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de Log"/>
      <sheetName val="Exit Log"/>
      <sheetName val="Setup Review"/>
      <sheetName val="Rules &amp; Lessons"/>
      <sheetName val="Setup Tags"/>
    </sheetNames>
    <sheetDataSet>
      <sheetData sheetId="0">
        <row r="5">
          <cell r="A5" t="str">
            <v>2026-001</v>
          </cell>
          <cell r="F5" t="str">
            <v>MU</v>
          </cell>
          <cell r="I5" t="str">
            <v>Call</v>
          </cell>
        </row>
      </sheetData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deLogTable" displayName="TradeLogTable" ref="A4:AJ204">
  <tableColumns count="36">
    <tableColumn id="1" xr3:uid="{00000000-0010-0000-0000-000001000000}" name="Trade ID"/>
    <tableColumn id="2" xr3:uid="{00000000-0010-0000-0000-000002000000}" name="Entry Date"/>
    <tableColumn id="3" xr3:uid="{00000000-0010-0000-0000-000003000000}" name="Day"/>
    <tableColumn id="4" xr3:uid="{00000000-0010-0000-0000-000004000000}" name="Entry Time"/>
    <tableColumn id="5" xr3:uid="{00000000-0010-0000-0000-000005000000}" name="Session Bucket"/>
    <tableColumn id="6" xr3:uid="{00000000-0010-0000-0000-000006000000}" name="Ticker"/>
    <tableColumn id="7" xr3:uid="{00000000-0010-0000-0000-000007000000}" name="Bias"/>
    <tableColumn id="8" xr3:uid="{00000000-0010-0000-0000-000008000000}" name="Setup"/>
    <tableColumn id="9" xr3:uid="{00000000-0010-0000-0000-000009000000}" name="Call/Put"/>
    <tableColumn id="10" xr3:uid="{00000000-0010-0000-0000-00000A000000}" name="Entry Action"/>
    <tableColumn id="11" xr3:uid="{00000000-0010-0000-0000-00000B000000}" name="Expiration"/>
    <tableColumn id="12" xr3:uid="{00000000-0010-0000-0000-00000C000000}" name="DTE"/>
    <tableColumn id="13" xr3:uid="{00000000-0010-0000-0000-00000D000000}" name="Strike"/>
    <tableColumn id="14" xr3:uid="{00000000-0010-0000-0000-00000E000000}" name="ITM/ATM/OTM"/>
    <tableColumn id="15" xr3:uid="{00000000-0010-0000-0000-00000F000000}" name="Contracts Bought"/>
    <tableColumn id="16" xr3:uid="{00000000-0010-0000-0000-000010000000}" name="Entry Premium"/>
    <tableColumn id="17" xr3:uid="{00000000-0010-0000-0000-000011000000}" name="Entry Fees"/>
    <tableColumn id="18" xr3:uid="{00000000-0010-0000-0000-000012000000}" name="Underlying Entry Price"/>
    <tableColumn id="19" xr3:uid="{00000000-0010-0000-0000-000013000000}" name="Premium at Risk $"/>
    <tableColumn id="20" xr3:uid="{00000000-0010-0000-0000-000014000000}" name="Stop/Invalidation"/>
    <tableColumn id="21" xr3:uid="{00000000-0010-0000-0000-000015000000}" name="Target / Trim Rule"/>
    <tableColumn id="22" xr3:uid="{00000000-0010-0000-0000-000016000000}" name="Reason for Entry"/>
    <tableColumn id="23" xr3:uid="{00000000-0010-0000-0000-000017000000}" name="Contracts Sold"/>
    <tableColumn id="24" xr3:uid="{00000000-0010-0000-0000-000018000000}" name="Contracts Open"/>
    <tableColumn id="25" xr3:uid="{00000000-0010-0000-0000-000019000000}" name="Avg Exit Premium"/>
    <tableColumn id="26" xr3:uid="{00000000-0010-0000-0000-00001A000000}" name="Total Exit Proceeds $"/>
    <tableColumn id="27" xr3:uid="{00000000-0010-0000-0000-00001B000000}" name="Total Exit Fees"/>
    <tableColumn id="28" xr3:uid="{00000000-0010-0000-0000-00001C000000}" name="Realized P&amp;L $"/>
    <tableColumn id="29" xr3:uid="{00000000-0010-0000-0000-00001D000000}" name="Realized Return %"/>
    <tableColumn id="30" xr3:uid="{00000000-0010-0000-0000-00001E000000}" name="Status"/>
    <tableColumn id="31" xr3:uid="{00000000-0010-0000-0000-00001F000000}" name="Last Exit Date"/>
    <tableColumn id="32" xr3:uid="{00000000-0010-0000-0000-000020000000}" name="Last Exit Time"/>
    <tableColumn id="33" xr3:uid="{00000000-0010-0000-0000-000021000000}" name="Followed Plan?"/>
    <tableColumn id="34" xr3:uid="{00000000-0010-0000-0000-000022000000}" name="Emotion"/>
    <tableColumn id="35" xr3:uid="{00000000-0010-0000-0000-000023000000}" name="Lesson"/>
    <tableColumn id="36" xr3:uid="{00000000-0010-0000-0000-000024000000}" name="Screenshot 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itLogTable" displayName="ExitLogTable" ref="A4:R304">
  <tableColumns count="18">
    <tableColumn id="1" xr3:uid="{00000000-0010-0000-0100-000001000000}" name="Trade ID"/>
    <tableColumn id="2" xr3:uid="{00000000-0010-0000-0100-000002000000}" name="Exit #"/>
    <tableColumn id="3" xr3:uid="{00000000-0010-0000-0100-000003000000}" name="Exit Date"/>
    <tableColumn id="4" xr3:uid="{00000000-0010-0000-0100-000004000000}" name="Day"/>
    <tableColumn id="5" xr3:uid="{00000000-0010-0000-0100-000005000000}" name="Exit Time"/>
    <tableColumn id="6" xr3:uid="{00000000-0010-0000-0100-000006000000}" name="Session Bucket"/>
    <tableColumn id="7" xr3:uid="{00000000-0010-0000-0100-000007000000}" name="Ticker"/>
    <tableColumn id="8" xr3:uid="{00000000-0010-0000-0100-000008000000}" name="Call/Put"/>
    <tableColumn id="9" xr3:uid="{00000000-0010-0000-0100-000009000000}" name="Contracts Sold"/>
    <tableColumn id="10" xr3:uid="{00000000-0010-0000-0100-00000A000000}" name="Exit Premium"/>
    <tableColumn id="11" xr3:uid="{00000000-0010-0000-0100-00000B000000}" name="Exit Fees"/>
    <tableColumn id="12" xr3:uid="{00000000-0010-0000-0100-00000C000000}" name="Underlying Exit Price"/>
    <tableColumn id="13" xr3:uid="{00000000-0010-0000-0100-00000D000000}" name="Exit Reason"/>
    <tableColumn id="14" xr3:uid="{00000000-0010-0000-0100-00000E000000}" name="Gross Exit Proceeds $"/>
    <tableColumn id="15" xr3:uid="{00000000-0010-0000-0100-00000F000000}" name="Net Exit Proceeds $"/>
    <tableColumn id="16" xr3:uid="{00000000-0010-0000-0100-000010000000}" name="P&amp;L on This Trim $"/>
    <tableColumn id="17" xr3:uid="{00000000-0010-0000-0100-000011000000}" name="Return on This Trim %"/>
    <tableColumn id="18" xr3:uid="{00000000-0010-0000-0100-000012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ulesTable" displayName="RulesTable" ref="A4:E50">
  <tableColumns count="5">
    <tableColumn id="1" xr3:uid="{00000000-0010-0000-0200-000001000000}" name="Rule #"/>
    <tableColumn id="2" xr3:uid="{00000000-0010-0000-0200-000002000000}" name="Rule"/>
    <tableColumn id="3" xr3:uid="{00000000-0010-0000-0200-000003000000}" name="Why it matters"/>
    <tableColumn id="4" xr3:uid="{00000000-0010-0000-0200-000004000000}" name="Status"/>
    <tableColumn id="5" xr3:uid="{00000000-0010-0000-0200-000005000000}" name="Added 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tupTagsTable" displayName="SetupTagsTable" ref="A4:B13">
  <tableColumns count="2">
    <tableColumn id="1" xr3:uid="{00000000-0010-0000-0300-000001000000}" name="Setup tag"/>
    <tableColumn id="2" xr3:uid="{00000000-0010-0000-0300-000002000000}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4"/>
  <sheetViews>
    <sheetView tabSelected="1" workbookViewId="0">
      <selection activeCell="AI14" sqref="AI14"/>
    </sheetView>
  </sheetViews>
  <sheetFormatPr defaultRowHeight="14.25"/>
  <cols>
    <col min="1" max="1" width="14" customWidth="1"/>
    <col min="2" max="4" width="12" customWidth="1"/>
    <col min="5" max="5" width="16" customWidth="1"/>
    <col min="6" max="7" width="10" customWidth="1"/>
    <col min="8" max="8" width="18" customWidth="1"/>
    <col min="9" max="9" width="10" customWidth="1"/>
    <col min="10" max="10" width="14" customWidth="1"/>
    <col min="11" max="11" width="12" customWidth="1"/>
    <col min="12" max="12" width="8" customWidth="1"/>
    <col min="13" max="13" width="10" customWidth="1"/>
    <col min="14" max="14" width="12" customWidth="1"/>
    <col min="15" max="15" width="14" customWidth="1"/>
    <col min="16" max="16" width="13" customWidth="1"/>
    <col min="17" max="17" width="11" customWidth="1"/>
    <col min="18" max="19" width="16" customWidth="1"/>
    <col min="20" max="20" width="32" customWidth="1"/>
    <col min="21" max="21" width="34" customWidth="1"/>
    <col min="22" max="22" width="36" customWidth="1"/>
    <col min="23" max="24" width="13" customWidth="1"/>
    <col min="25" max="25" width="15" customWidth="1"/>
    <col min="26" max="26" width="18" customWidth="1"/>
    <col min="27" max="27" width="13" customWidth="1"/>
    <col min="28" max="28" width="15" customWidth="1"/>
    <col min="29" max="29" width="16" customWidth="1"/>
    <col min="30" max="30" width="18" customWidth="1"/>
    <col min="31" max="32" width="13" customWidth="1"/>
    <col min="33" max="33" width="14" customWidth="1"/>
    <col min="34" max="34" width="22" customWidth="1"/>
    <col min="35" max="35" width="36" customWidth="1"/>
    <col min="36" max="36" width="26" customWidth="1"/>
  </cols>
  <sheetData>
    <row r="1" spans="1:36" ht="26.1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</row>
    <row r="2" spans="1:36" ht="33.950000000000003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4" spans="1:36" ht="32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</row>
    <row r="5" spans="1:36" ht="28.5">
      <c r="A5" s="2" t="s">
        <v>38</v>
      </c>
      <c r="B5" s="3">
        <v>46163</v>
      </c>
      <c r="C5" s="4" t="str">
        <f t="shared" ref="C5" si="0">IF(B5="","",TEXT(B5,"dddd"))</f>
        <v>Thursday</v>
      </c>
      <c r="D5" s="5">
        <v>0.3263888888888889</v>
      </c>
      <c r="E5" s="2" t="s">
        <v>99</v>
      </c>
      <c r="F5" s="2" t="s">
        <v>147</v>
      </c>
      <c r="G5" s="2" t="s">
        <v>40</v>
      </c>
      <c r="H5" s="2" t="s">
        <v>90</v>
      </c>
      <c r="I5" s="2" t="s">
        <v>42</v>
      </c>
      <c r="J5" s="2" t="s">
        <v>43</v>
      </c>
      <c r="K5" s="3">
        <v>46164</v>
      </c>
      <c r="L5" s="4">
        <f t="shared" ref="L5" si="1">IF(OR(B5="",K5=""),"",K5-B5)</f>
        <v>1</v>
      </c>
      <c r="M5" s="6">
        <v>755</v>
      </c>
      <c r="N5" s="2" t="s">
        <v>44</v>
      </c>
      <c r="O5" s="7">
        <v>10</v>
      </c>
      <c r="P5" s="8">
        <v>16.399999999999999</v>
      </c>
      <c r="Q5" s="8">
        <v>0.48</v>
      </c>
      <c r="R5" s="8">
        <v>748</v>
      </c>
      <c r="S5" s="9">
        <f t="shared" ref="S5:S36" si="2">IF(OR(O5="",P5=""),"",O5*P5*100+IF(Q5="",0,Q5))</f>
        <v>16400.48</v>
      </c>
      <c r="T5" s="2" t="s">
        <v>148</v>
      </c>
      <c r="U5" s="10" t="s">
        <v>45</v>
      </c>
      <c r="V5" s="10" t="s">
        <v>149</v>
      </c>
      <c r="W5" s="11">
        <f>IF(A5="","",SUMIFS('Exit Log'!$I$5:$I$304,'Exit Log'!$A$5:$A$304,A5))</f>
        <v>10</v>
      </c>
      <c r="X5" s="11">
        <f t="shared" ref="X5:X36" si="3">IF(A5="","",O5-W5)</f>
        <v>0</v>
      </c>
      <c r="Y5" s="9">
        <f>IF(W5=0,"",SUMIFS('Exit Log'!$N$5:$N$304,'Exit Log'!$A$5:$A$304,A5)/(W5*100))</f>
        <v>21.756</v>
      </c>
      <c r="Z5" s="9">
        <f>IF(A5="","",SUMIFS('Exit Log'!$N$5:$N$304,'Exit Log'!$A$5:$A$304,A5))</f>
        <v>21756</v>
      </c>
      <c r="AA5" s="9">
        <f>IF(A5="","",SUMIFS('Exit Log'!$K$5:$K$304,'Exit Log'!$A$5:$A$304,A5))</f>
        <v>1.02</v>
      </c>
      <c r="AB5" s="9">
        <f>IF(A5="","",SUMIFS('Exit Log'!$P$5:$P$304,'Exit Log'!$A$5:$A$304,A5))</f>
        <v>5354.5000000000018</v>
      </c>
      <c r="AC5" s="12">
        <f t="shared" ref="AC5:AC36" si="4">IF(W5=0,"",AB5/(W5*P5*100+IFERROR(Q5*W5/O5,0)))</f>
        <v>0.32648434679960597</v>
      </c>
      <c r="AD5" s="4" t="str">
        <f t="shared" ref="AD5:AD36" si="5">IF(A5="","",IF(W5=0,"Open",IF(X5=0,"Closed","Partially Trimmed")))</f>
        <v>Closed</v>
      </c>
      <c r="AE5" s="13">
        <f>IF(W5=0,"",LOOKUP(2,1/('Exit Log'!$A$5:$A$304=A5),'Exit Log'!$C$5:$C$304))</f>
        <v>46163</v>
      </c>
      <c r="AF5" s="14">
        <f>IF(W5=0,"",LOOKUP(2,1/('Exit Log'!$A$5:$A$304=A5),'Exit Log'!$E$5:$E$304))</f>
        <v>0.41418981481481482</v>
      </c>
      <c r="AG5" s="2" t="s">
        <v>46</v>
      </c>
      <c r="AH5" s="2" t="s">
        <v>150</v>
      </c>
      <c r="AI5" s="10" t="s">
        <v>47</v>
      </c>
      <c r="AJ5" s="2" t="s">
        <v>48</v>
      </c>
    </row>
    <row r="6" spans="1:36">
      <c r="A6" s="2"/>
      <c r="B6" s="3"/>
      <c r="C6" s="4" t="str">
        <f t="shared" ref="C5:C36" si="6">IF(B6="","",TEXT(B6,"dddd"))</f>
        <v/>
      </c>
      <c r="D6" s="5"/>
      <c r="E6" s="2"/>
      <c r="F6" s="2"/>
      <c r="G6" s="2"/>
      <c r="H6" s="2"/>
      <c r="I6" s="2"/>
      <c r="J6" s="2"/>
      <c r="K6" s="3"/>
      <c r="L6" s="4" t="str">
        <f t="shared" ref="L5:L36" si="7">IF(OR(B6="",K6=""),"",K6-B6)</f>
        <v/>
      </c>
      <c r="M6" s="6"/>
      <c r="N6" s="2"/>
      <c r="O6" s="7"/>
      <c r="P6" s="8"/>
      <c r="Q6" s="8"/>
      <c r="R6" s="8"/>
      <c r="S6" s="9" t="str">
        <f t="shared" si="2"/>
        <v/>
      </c>
      <c r="T6" s="2"/>
      <c r="U6" s="10"/>
      <c r="V6" s="10"/>
      <c r="W6" s="11" t="str">
        <f>IF(A6="","",SUMIFS('Exit Log'!$I$5:$I$304,'Exit Log'!$A$5:$A$304,A6))</f>
        <v/>
      </c>
      <c r="X6" s="11" t="str">
        <f t="shared" si="3"/>
        <v/>
      </c>
      <c r="Y6" s="9" t="e">
        <f>IF(W6=0,"",SUMIFS('Exit Log'!$N$5:$N$304,'Exit Log'!$A$5:$A$304,A6)/(W6*100))</f>
        <v>#VALUE!</v>
      </c>
      <c r="Z6" s="9" t="str">
        <f>IF(A6="","",SUMIFS('Exit Log'!$N$5:$N$304,'Exit Log'!$A$5:$A$304,A6))</f>
        <v/>
      </c>
      <c r="AA6" s="9" t="str">
        <f>IF(A6="","",SUMIFS('Exit Log'!$K$5:$K$304,'Exit Log'!$A$5:$A$304,A6))</f>
        <v/>
      </c>
      <c r="AB6" s="9" t="str">
        <f>IF(A6="","",SUMIFS('Exit Log'!$P$5:$P$304,'Exit Log'!$A$5:$A$304,A6))</f>
        <v/>
      </c>
      <c r="AC6" s="12" t="e">
        <f t="shared" si="4"/>
        <v>#VALUE!</v>
      </c>
      <c r="AD6" s="4" t="str">
        <f t="shared" si="5"/>
        <v/>
      </c>
      <c r="AE6" s="13">
        <f>IF(W6=0,"",LOOKUP(2,1/('Exit Log'!$A$5:$A$304=A6),'Exit Log'!$C$5:$C$304))</f>
        <v>0</v>
      </c>
      <c r="AF6" s="14">
        <f>IF(W6=0,"",LOOKUP(2,1/('Exit Log'!$A$5:$A$304=A6),'Exit Log'!$E$5:$E$304))</f>
        <v>0</v>
      </c>
      <c r="AG6" s="2"/>
      <c r="AH6" s="2"/>
      <c r="AI6" s="10"/>
      <c r="AJ6" s="2"/>
    </row>
    <row r="7" spans="1:36">
      <c r="A7" s="2"/>
      <c r="B7" s="3"/>
      <c r="C7" s="4" t="str">
        <f t="shared" si="6"/>
        <v/>
      </c>
      <c r="D7" s="5"/>
      <c r="E7" s="2"/>
      <c r="F7" s="2"/>
      <c r="G7" s="2"/>
      <c r="H7" s="2"/>
      <c r="I7" s="2"/>
      <c r="J7" s="2"/>
      <c r="K7" s="3"/>
      <c r="L7" s="4" t="str">
        <f t="shared" si="7"/>
        <v/>
      </c>
      <c r="M7" s="6"/>
      <c r="N7" s="2"/>
      <c r="O7" s="7"/>
      <c r="P7" s="8"/>
      <c r="Q7" s="8"/>
      <c r="R7" s="8"/>
      <c r="S7" s="9" t="str">
        <f t="shared" si="2"/>
        <v/>
      </c>
      <c r="T7" s="2"/>
      <c r="U7" s="10"/>
      <c r="V7" s="10"/>
      <c r="W7" s="11" t="str">
        <f>IF(A7="","",SUMIFS('Exit Log'!$I$5:$I$304,'Exit Log'!$A$5:$A$304,A7))</f>
        <v/>
      </c>
      <c r="X7" s="11" t="str">
        <f t="shared" si="3"/>
        <v/>
      </c>
      <c r="Y7" s="9" t="e">
        <f>IF(W7=0,"",SUMIFS('Exit Log'!$N$5:$N$304,'Exit Log'!$A$5:$A$304,A7)/(W7*100))</f>
        <v>#VALUE!</v>
      </c>
      <c r="Z7" s="9" t="str">
        <f>IF(A7="","",SUMIFS('Exit Log'!$N$5:$N$304,'Exit Log'!$A$5:$A$304,A7))</f>
        <v/>
      </c>
      <c r="AA7" s="9" t="str">
        <f>IF(A7="","",SUMIFS('Exit Log'!$K$5:$K$304,'Exit Log'!$A$5:$A$304,A7))</f>
        <v/>
      </c>
      <c r="AB7" s="9" t="str">
        <f>IF(A7="","",SUMIFS('Exit Log'!$P$5:$P$304,'Exit Log'!$A$5:$A$304,A7))</f>
        <v/>
      </c>
      <c r="AC7" s="12" t="e">
        <f t="shared" si="4"/>
        <v>#VALUE!</v>
      </c>
      <c r="AD7" s="4" t="str">
        <f t="shared" si="5"/>
        <v/>
      </c>
      <c r="AE7" s="13">
        <f>IF(W7=0,"",LOOKUP(2,1/('Exit Log'!$A$5:$A$304=A7),'Exit Log'!$C$5:$C$304))</f>
        <v>0</v>
      </c>
      <c r="AF7" s="14">
        <f>IF(W7=0,"",LOOKUP(2,1/('Exit Log'!$A$5:$A$304=A7),'Exit Log'!$E$5:$E$304))</f>
        <v>0</v>
      </c>
      <c r="AG7" s="2"/>
      <c r="AH7" s="2"/>
      <c r="AI7" s="10"/>
      <c r="AJ7" s="2"/>
    </row>
    <row r="8" spans="1:36">
      <c r="A8" s="2"/>
      <c r="B8" s="3"/>
      <c r="C8" s="4" t="str">
        <f t="shared" si="6"/>
        <v/>
      </c>
      <c r="D8" s="5"/>
      <c r="E8" s="2"/>
      <c r="F8" s="2"/>
      <c r="G8" s="2"/>
      <c r="H8" s="2"/>
      <c r="I8" s="2"/>
      <c r="J8" s="2"/>
      <c r="K8" s="3"/>
      <c r="L8" s="4" t="str">
        <f t="shared" si="7"/>
        <v/>
      </c>
      <c r="M8" s="6"/>
      <c r="N8" s="2"/>
      <c r="O8" s="7"/>
      <c r="P8" s="8"/>
      <c r="Q8" s="8"/>
      <c r="R8" s="8"/>
      <c r="S8" s="9" t="str">
        <f t="shared" si="2"/>
        <v/>
      </c>
      <c r="T8" s="2"/>
      <c r="U8" s="10"/>
      <c r="V8" s="10"/>
      <c r="W8" s="11" t="str">
        <f>IF(A8="","",SUMIFS('Exit Log'!$I$5:$I$304,'Exit Log'!$A$5:$A$304,A8))</f>
        <v/>
      </c>
      <c r="X8" s="11" t="str">
        <f t="shared" si="3"/>
        <v/>
      </c>
      <c r="Y8" s="9" t="e">
        <f>IF(W8=0,"",SUMIFS('Exit Log'!$N$5:$N$304,'Exit Log'!$A$5:$A$304,A8)/(W8*100))</f>
        <v>#VALUE!</v>
      </c>
      <c r="Z8" s="9" t="str">
        <f>IF(A8="","",SUMIFS('Exit Log'!$N$5:$N$304,'Exit Log'!$A$5:$A$304,A8))</f>
        <v/>
      </c>
      <c r="AA8" s="9" t="str">
        <f>IF(A8="","",SUMIFS('Exit Log'!$K$5:$K$304,'Exit Log'!$A$5:$A$304,A8))</f>
        <v/>
      </c>
      <c r="AB8" s="9" t="str">
        <f>IF(A8="","",SUMIFS('Exit Log'!$P$5:$P$304,'Exit Log'!$A$5:$A$304,A8))</f>
        <v/>
      </c>
      <c r="AC8" s="12" t="e">
        <f t="shared" si="4"/>
        <v>#VALUE!</v>
      </c>
      <c r="AD8" s="4" t="str">
        <f t="shared" si="5"/>
        <v/>
      </c>
      <c r="AE8" s="13">
        <f>IF(W8=0,"",LOOKUP(2,1/('Exit Log'!$A$5:$A$304=A8),'Exit Log'!$C$5:$C$304))</f>
        <v>0</v>
      </c>
      <c r="AF8" s="14">
        <f>IF(W8=0,"",LOOKUP(2,1/('Exit Log'!$A$5:$A$304=A8),'Exit Log'!$E$5:$E$304))</f>
        <v>0</v>
      </c>
      <c r="AG8" s="2"/>
      <c r="AH8" s="2"/>
      <c r="AI8" s="10"/>
      <c r="AJ8" s="2"/>
    </row>
    <row r="9" spans="1:36">
      <c r="A9" s="2"/>
      <c r="B9" s="3"/>
      <c r="C9" s="4" t="str">
        <f t="shared" si="6"/>
        <v/>
      </c>
      <c r="D9" s="5"/>
      <c r="E9" s="2"/>
      <c r="F9" s="2"/>
      <c r="G9" s="2"/>
      <c r="H9" s="2"/>
      <c r="I9" s="2"/>
      <c r="J9" s="2"/>
      <c r="K9" s="3"/>
      <c r="L9" s="4" t="str">
        <f t="shared" si="7"/>
        <v/>
      </c>
      <c r="M9" s="6"/>
      <c r="N9" s="2"/>
      <c r="O9" s="7"/>
      <c r="P9" s="8"/>
      <c r="Q9" s="8"/>
      <c r="R9" s="8"/>
      <c r="S9" s="9" t="str">
        <f t="shared" si="2"/>
        <v/>
      </c>
      <c r="T9" s="2"/>
      <c r="U9" s="10"/>
      <c r="V9" s="10"/>
      <c r="W9" s="11" t="str">
        <f>IF(A9="","",SUMIFS('Exit Log'!$I$5:$I$304,'Exit Log'!$A$5:$A$304,A9))</f>
        <v/>
      </c>
      <c r="X9" s="11" t="str">
        <f t="shared" si="3"/>
        <v/>
      </c>
      <c r="Y9" s="9" t="e">
        <f>IF(W9=0,"",SUMIFS('Exit Log'!$N$5:$N$304,'Exit Log'!$A$5:$A$304,A9)/(W9*100))</f>
        <v>#VALUE!</v>
      </c>
      <c r="Z9" s="9" t="str">
        <f>IF(A9="","",SUMIFS('Exit Log'!$N$5:$N$304,'Exit Log'!$A$5:$A$304,A9))</f>
        <v/>
      </c>
      <c r="AA9" s="9" t="str">
        <f>IF(A9="","",SUMIFS('Exit Log'!$K$5:$K$304,'Exit Log'!$A$5:$A$304,A9))</f>
        <v/>
      </c>
      <c r="AB9" s="9" t="str">
        <f>IF(A9="","",SUMIFS('Exit Log'!$P$5:$P$304,'Exit Log'!$A$5:$A$304,A9))</f>
        <v/>
      </c>
      <c r="AC9" s="12" t="e">
        <f t="shared" si="4"/>
        <v>#VALUE!</v>
      </c>
      <c r="AD9" s="4" t="str">
        <f t="shared" si="5"/>
        <v/>
      </c>
      <c r="AE9" s="13">
        <f>IF(W9=0,"",LOOKUP(2,1/('Exit Log'!$A$5:$A$304=A9),'Exit Log'!$C$5:$C$304))</f>
        <v>0</v>
      </c>
      <c r="AF9" s="14">
        <f>IF(W9=0,"",LOOKUP(2,1/('Exit Log'!$A$5:$A$304=A9),'Exit Log'!$E$5:$E$304))</f>
        <v>0</v>
      </c>
      <c r="AG9" s="2"/>
      <c r="AH9" s="2"/>
      <c r="AI9" s="10"/>
      <c r="AJ9" s="2"/>
    </row>
    <row r="10" spans="1:36">
      <c r="A10" s="2"/>
      <c r="B10" s="3"/>
      <c r="C10" s="4" t="str">
        <f t="shared" si="6"/>
        <v/>
      </c>
      <c r="D10" s="5"/>
      <c r="E10" s="2"/>
      <c r="F10" s="2"/>
      <c r="G10" s="2"/>
      <c r="H10" s="2"/>
      <c r="I10" s="2"/>
      <c r="J10" s="2"/>
      <c r="K10" s="3"/>
      <c r="L10" s="4" t="str">
        <f t="shared" si="7"/>
        <v/>
      </c>
      <c r="M10" s="6"/>
      <c r="N10" s="2"/>
      <c r="O10" s="7"/>
      <c r="P10" s="8"/>
      <c r="Q10" s="8"/>
      <c r="R10" s="8"/>
      <c r="S10" s="9" t="str">
        <f t="shared" si="2"/>
        <v/>
      </c>
      <c r="T10" s="2"/>
      <c r="U10" s="10"/>
      <c r="V10" s="10"/>
      <c r="W10" s="11" t="str">
        <f>IF(A10="","",SUMIFS('Exit Log'!$I$5:$I$304,'Exit Log'!$A$5:$A$304,A10))</f>
        <v/>
      </c>
      <c r="X10" s="11" t="str">
        <f t="shared" si="3"/>
        <v/>
      </c>
      <c r="Y10" s="9" t="e">
        <f>IF(W10=0,"",SUMIFS('Exit Log'!$N$5:$N$304,'Exit Log'!$A$5:$A$304,A10)/(W10*100))</f>
        <v>#VALUE!</v>
      </c>
      <c r="Z10" s="9" t="str">
        <f>IF(A10="","",SUMIFS('Exit Log'!$N$5:$N$304,'Exit Log'!$A$5:$A$304,A10))</f>
        <v/>
      </c>
      <c r="AA10" s="9" t="str">
        <f>IF(A10="","",SUMIFS('Exit Log'!$K$5:$K$304,'Exit Log'!$A$5:$A$304,A10))</f>
        <v/>
      </c>
      <c r="AB10" s="9" t="str">
        <f>IF(A10="","",SUMIFS('Exit Log'!$P$5:$P$304,'Exit Log'!$A$5:$A$304,A10))</f>
        <v/>
      </c>
      <c r="AC10" s="12" t="e">
        <f t="shared" si="4"/>
        <v>#VALUE!</v>
      </c>
      <c r="AD10" s="4" t="str">
        <f t="shared" si="5"/>
        <v/>
      </c>
      <c r="AE10" s="13">
        <f>IF(W10=0,"",LOOKUP(2,1/('Exit Log'!$A$5:$A$304=A10),'Exit Log'!$C$5:$C$304))</f>
        <v>0</v>
      </c>
      <c r="AF10" s="14">
        <f>IF(W10=0,"",LOOKUP(2,1/('Exit Log'!$A$5:$A$304=A10),'Exit Log'!$E$5:$E$304))</f>
        <v>0</v>
      </c>
      <c r="AG10" s="2"/>
      <c r="AH10" s="2"/>
      <c r="AI10" s="10"/>
      <c r="AJ10" s="2"/>
    </row>
    <row r="11" spans="1:36">
      <c r="A11" s="2"/>
      <c r="B11" s="3"/>
      <c r="C11" s="4" t="str">
        <f t="shared" si="6"/>
        <v/>
      </c>
      <c r="D11" s="5"/>
      <c r="E11" s="2"/>
      <c r="F11" s="2"/>
      <c r="G11" s="2"/>
      <c r="H11" s="2"/>
      <c r="I11" s="2"/>
      <c r="J11" s="2"/>
      <c r="K11" s="3"/>
      <c r="L11" s="4" t="str">
        <f t="shared" si="7"/>
        <v/>
      </c>
      <c r="M11" s="6"/>
      <c r="N11" s="2"/>
      <c r="O11" s="7"/>
      <c r="P11" s="8"/>
      <c r="Q11" s="8"/>
      <c r="R11" s="8"/>
      <c r="S11" s="9" t="str">
        <f t="shared" si="2"/>
        <v/>
      </c>
      <c r="T11" s="2"/>
      <c r="U11" s="10"/>
      <c r="V11" s="10"/>
      <c r="W11" s="11" t="str">
        <f>IF(A11="","",SUMIFS('Exit Log'!$I$5:$I$304,'Exit Log'!$A$5:$A$304,A11))</f>
        <v/>
      </c>
      <c r="X11" s="11" t="str">
        <f t="shared" si="3"/>
        <v/>
      </c>
      <c r="Y11" s="9" t="e">
        <f>IF(W11=0,"",SUMIFS('Exit Log'!$N$5:$N$304,'Exit Log'!$A$5:$A$304,A11)/(W11*100))</f>
        <v>#VALUE!</v>
      </c>
      <c r="Z11" s="9" t="str">
        <f>IF(A11="","",SUMIFS('Exit Log'!$N$5:$N$304,'Exit Log'!$A$5:$A$304,A11))</f>
        <v/>
      </c>
      <c r="AA11" s="9" t="str">
        <f>IF(A11="","",SUMIFS('Exit Log'!$K$5:$K$304,'Exit Log'!$A$5:$A$304,A11))</f>
        <v/>
      </c>
      <c r="AB11" s="9" t="str">
        <f>IF(A11="","",SUMIFS('Exit Log'!$P$5:$P$304,'Exit Log'!$A$5:$A$304,A11))</f>
        <v/>
      </c>
      <c r="AC11" s="12" t="e">
        <f t="shared" si="4"/>
        <v>#VALUE!</v>
      </c>
      <c r="AD11" s="4" t="str">
        <f t="shared" si="5"/>
        <v/>
      </c>
      <c r="AE11" s="13">
        <f>IF(W11=0,"",LOOKUP(2,1/('Exit Log'!$A$5:$A$304=A11),'Exit Log'!$C$5:$C$304))</f>
        <v>0</v>
      </c>
      <c r="AF11" s="14">
        <f>IF(W11=0,"",LOOKUP(2,1/('Exit Log'!$A$5:$A$304=A11),'Exit Log'!$E$5:$E$304))</f>
        <v>0</v>
      </c>
      <c r="AG11" s="2"/>
      <c r="AH11" s="2"/>
      <c r="AI11" s="10"/>
      <c r="AJ11" s="2"/>
    </row>
    <row r="12" spans="1:36">
      <c r="A12" s="2"/>
      <c r="B12" s="3"/>
      <c r="C12" s="4" t="str">
        <f t="shared" si="6"/>
        <v/>
      </c>
      <c r="D12" s="5"/>
      <c r="E12" s="2"/>
      <c r="F12" s="2"/>
      <c r="G12" s="2"/>
      <c r="H12" s="2"/>
      <c r="I12" s="2"/>
      <c r="J12" s="2"/>
      <c r="K12" s="3"/>
      <c r="L12" s="4" t="str">
        <f t="shared" si="7"/>
        <v/>
      </c>
      <c r="M12" s="6"/>
      <c r="N12" s="2"/>
      <c r="O12" s="7"/>
      <c r="P12" s="8"/>
      <c r="Q12" s="8"/>
      <c r="R12" s="8"/>
      <c r="S12" s="9" t="str">
        <f t="shared" si="2"/>
        <v/>
      </c>
      <c r="T12" s="2"/>
      <c r="U12" s="10"/>
      <c r="V12" s="10"/>
      <c r="W12" s="11" t="str">
        <f>IF(A12="","",SUMIFS('Exit Log'!$I$5:$I$304,'Exit Log'!$A$5:$A$304,A12))</f>
        <v/>
      </c>
      <c r="X12" s="11" t="str">
        <f t="shared" si="3"/>
        <v/>
      </c>
      <c r="Y12" s="9" t="e">
        <f>IF(W12=0,"",SUMIFS('Exit Log'!$N$5:$N$304,'Exit Log'!$A$5:$A$304,A12)/(W12*100))</f>
        <v>#VALUE!</v>
      </c>
      <c r="Z12" s="9" t="str">
        <f>IF(A12="","",SUMIFS('Exit Log'!$N$5:$N$304,'Exit Log'!$A$5:$A$304,A12))</f>
        <v/>
      </c>
      <c r="AA12" s="9" t="str">
        <f>IF(A12="","",SUMIFS('Exit Log'!$K$5:$K$304,'Exit Log'!$A$5:$A$304,A12))</f>
        <v/>
      </c>
      <c r="AB12" s="9" t="str">
        <f>IF(A12="","",SUMIFS('Exit Log'!$P$5:$P$304,'Exit Log'!$A$5:$A$304,A12))</f>
        <v/>
      </c>
      <c r="AC12" s="12" t="e">
        <f t="shared" si="4"/>
        <v>#VALUE!</v>
      </c>
      <c r="AD12" s="4" t="str">
        <f t="shared" si="5"/>
        <v/>
      </c>
      <c r="AE12" s="13">
        <f>IF(W12=0,"",LOOKUP(2,1/('Exit Log'!$A$5:$A$304=A12),'Exit Log'!$C$5:$C$304))</f>
        <v>0</v>
      </c>
      <c r="AF12" s="14">
        <f>IF(W12=0,"",LOOKUP(2,1/('Exit Log'!$A$5:$A$304=A12),'Exit Log'!$E$5:$E$304))</f>
        <v>0</v>
      </c>
      <c r="AG12" s="2"/>
      <c r="AH12" s="2"/>
      <c r="AI12" s="10"/>
      <c r="AJ12" s="2"/>
    </row>
    <row r="13" spans="1:36">
      <c r="A13" s="2"/>
      <c r="B13" s="3"/>
      <c r="C13" s="4" t="str">
        <f t="shared" si="6"/>
        <v/>
      </c>
      <c r="D13" s="5"/>
      <c r="E13" s="2"/>
      <c r="F13" s="2"/>
      <c r="G13" s="2"/>
      <c r="H13" s="2"/>
      <c r="I13" s="2"/>
      <c r="J13" s="2"/>
      <c r="K13" s="3"/>
      <c r="L13" s="4" t="str">
        <f t="shared" si="7"/>
        <v/>
      </c>
      <c r="M13" s="6"/>
      <c r="N13" s="2"/>
      <c r="O13" s="7"/>
      <c r="P13" s="8"/>
      <c r="Q13" s="8"/>
      <c r="R13" s="8"/>
      <c r="S13" s="9" t="str">
        <f t="shared" si="2"/>
        <v/>
      </c>
      <c r="T13" s="2"/>
      <c r="U13" s="10"/>
      <c r="V13" s="10"/>
      <c r="W13" s="11" t="str">
        <f>IF(A13="","",SUMIFS('Exit Log'!$I$5:$I$304,'Exit Log'!$A$5:$A$304,A13))</f>
        <v/>
      </c>
      <c r="X13" s="11" t="str">
        <f t="shared" si="3"/>
        <v/>
      </c>
      <c r="Y13" s="9" t="e">
        <f>IF(W13=0,"",SUMIFS('Exit Log'!$N$5:$N$304,'Exit Log'!$A$5:$A$304,A13)/(W13*100))</f>
        <v>#VALUE!</v>
      </c>
      <c r="Z13" s="9" t="str">
        <f>IF(A13="","",SUMIFS('Exit Log'!$N$5:$N$304,'Exit Log'!$A$5:$A$304,A13))</f>
        <v/>
      </c>
      <c r="AA13" s="9" t="str">
        <f>IF(A13="","",SUMIFS('Exit Log'!$K$5:$K$304,'Exit Log'!$A$5:$A$304,A13))</f>
        <v/>
      </c>
      <c r="AB13" s="9" t="str">
        <f>IF(A13="","",SUMIFS('Exit Log'!$P$5:$P$304,'Exit Log'!$A$5:$A$304,A13))</f>
        <v/>
      </c>
      <c r="AC13" s="12" t="e">
        <f t="shared" si="4"/>
        <v>#VALUE!</v>
      </c>
      <c r="AD13" s="4" t="str">
        <f t="shared" si="5"/>
        <v/>
      </c>
      <c r="AE13" s="13">
        <f>IF(W13=0,"",LOOKUP(2,1/('Exit Log'!$A$5:$A$304=A13),'Exit Log'!$C$5:$C$304))</f>
        <v>0</v>
      </c>
      <c r="AF13" s="14">
        <f>IF(W13=0,"",LOOKUP(2,1/('Exit Log'!$A$5:$A$304=A13),'Exit Log'!$E$5:$E$304))</f>
        <v>0</v>
      </c>
      <c r="AG13" s="2"/>
      <c r="AH13" s="2"/>
      <c r="AI13" s="10"/>
      <c r="AJ13" s="2"/>
    </row>
    <row r="14" spans="1:36">
      <c r="A14" s="2"/>
      <c r="B14" s="3"/>
      <c r="C14" s="4" t="str">
        <f t="shared" si="6"/>
        <v/>
      </c>
      <c r="D14" s="5"/>
      <c r="E14" s="2"/>
      <c r="F14" s="2"/>
      <c r="G14" s="2"/>
      <c r="H14" s="2"/>
      <c r="I14" s="2"/>
      <c r="J14" s="2"/>
      <c r="K14" s="3"/>
      <c r="L14" s="4" t="str">
        <f t="shared" si="7"/>
        <v/>
      </c>
      <c r="M14" s="6"/>
      <c r="N14" s="2"/>
      <c r="O14" s="7"/>
      <c r="P14" s="8"/>
      <c r="Q14" s="8"/>
      <c r="R14" s="8"/>
      <c r="S14" s="9" t="str">
        <f t="shared" si="2"/>
        <v/>
      </c>
      <c r="T14" s="2"/>
      <c r="U14" s="10"/>
      <c r="V14" s="10"/>
      <c r="W14" s="11" t="str">
        <f>IF(A14="","",SUMIFS('Exit Log'!$I$5:$I$304,'Exit Log'!$A$5:$A$304,A14))</f>
        <v/>
      </c>
      <c r="X14" s="11" t="str">
        <f t="shared" si="3"/>
        <v/>
      </c>
      <c r="Y14" s="9" t="e">
        <f>IF(W14=0,"",SUMIFS('Exit Log'!$N$5:$N$304,'Exit Log'!$A$5:$A$304,A14)/(W14*100))</f>
        <v>#VALUE!</v>
      </c>
      <c r="Z14" s="9" t="str">
        <f>IF(A14="","",SUMIFS('Exit Log'!$N$5:$N$304,'Exit Log'!$A$5:$A$304,A14))</f>
        <v/>
      </c>
      <c r="AA14" s="9" t="str">
        <f>IF(A14="","",SUMIFS('Exit Log'!$K$5:$K$304,'Exit Log'!$A$5:$A$304,A14))</f>
        <v/>
      </c>
      <c r="AB14" s="9" t="str">
        <f>IF(A14="","",SUMIFS('Exit Log'!$P$5:$P$304,'Exit Log'!$A$5:$A$304,A14))</f>
        <v/>
      </c>
      <c r="AC14" s="12" t="e">
        <f t="shared" si="4"/>
        <v>#VALUE!</v>
      </c>
      <c r="AD14" s="4" t="str">
        <f t="shared" si="5"/>
        <v/>
      </c>
      <c r="AE14" s="13">
        <f>IF(W14=0,"",LOOKUP(2,1/('Exit Log'!$A$5:$A$304=A14),'Exit Log'!$C$5:$C$304))</f>
        <v>0</v>
      </c>
      <c r="AF14" s="14">
        <f>IF(W14=0,"",LOOKUP(2,1/('Exit Log'!$A$5:$A$304=A14),'Exit Log'!$E$5:$E$304))</f>
        <v>0</v>
      </c>
      <c r="AG14" s="2"/>
      <c r="AH14" s="2"/>
      <c r="AI14" s="10"/>
      <c r="AJ14" s="2"/>
    </row>
    <row r="15" spans="1:36">
      <c r="A15" s="2"/>
      <c r="B15" s="3"/>
      <c r="C15" s="4" t="str">
        <f t="shared" si="6"/>
        <v/>
      </c>
      <c r="D15" s="5"/>
      <c r="E15" s="2"/>
      <c r="F15" s="2"/>
      <c r="G15" s="2"/>
      <c r="H15" s="2"/>
      <c r="I15" s="2"/>
      <c r="J15" s="2"/>
      <c r="K15" s="3"/>
      <c r="L15" s="4" t="str">
        <f t="shared" si="7"/>
        <v/>
      </c>
      <c r="M15" s="6"/>
      <c r="N15" s="2"/>
      <c r="O15" s="7"/>
      <c r="P15" s="8"/>
      <c r="Q15" s="8"/>
      <c r="R15" s="8"/>
      <c r="S15" s="9" t="str">
        <f t="shared" si="2"/>
        <v/>
      </c>
      <c r="T15" s="2"/>
      <c r="U15" s="10"/>
      <c r="V15" s="10"/>
      <c r="W15" s="11" t="str">
        <f>IF(A15="","",SUMIFS('Exit Log'!$I$5:$I$304,'Exit Log'!$A$5:$A$304,A15))</f>
        <v/>
      </c>
      <c r="X15" s="11" t="str">
        <f t="shared" si="3"/>
        <v/>
      </c>
      <c r="Y15" s="9" t="e">
        <f>IF(W15=0,"",SUMIFS('Exit Log'!$N$5:$N$304,'Exit Log'!$A$5:$A$304,A15)/(W15*100))</f>
        <v>#VALUE!</v>
      </c>
      <c r="Z15" s="9" t="str">
        <f>IF(A15="","",SUMIFS('Exit Log'!$N$5:$N$304,'Exit Log'!$A$5:$A$304,A15))</f>
        <v/>
      </c>
      <c r="AA15" s="9" t="str">
        <f>IF(A15="","",SUMIFS('Exit Log'!$K$5:$K$304,'Exit Log'!$A$5:$A$304,A15))</f>
        <v/>
      </c>
      <c r="AB15" s="9" t="str">
        <f>IF(A15="","",SUMIFS('Exit Log'!$P$5:$P$304,'Exit Log'!$A$5:$A$304,A15))</f>
        <v/>
      </c>
      <c r="AC15" s="12" t="e">
        <f t="shared" si="4"/>
        <v>#VALUE!</v>
      </c>
      <c r="AD15" s="4" t="str">
        <f t="shared" si="5"/>
        <v/>
      </c>
      <c r="AE15" s="13">
        <f>IF(W15=0,"",LOOKUP(2,1/('Exit Log'!$A$5:$A$304=A15),'Exit Log'!$C$5:$C$304))</f>
        <v>0</v>
      </c>
      <c r="AF15" s="14">
        <f>IF(W15=0,"",LOOKUP(2,1/('Exit Log'!$A$5:$A$304=A15),'Exit Log'!$E$5:$E$304))</f>
        <v>0</v>
      </c>
      <c r="AG15" s="2"/>
      <c r="AH15" s="2"/>
      <c r="AI15" s="10"/>
      <c r="AJ15" s="2"/>
    </row>
    <row r="16" spans="1:36">
      <c r="A16" s="2"/>
      <c r="B16" s="3"/>
      <c r="C16" s="4" t="str">
        <f t="shared" si="6"/>
        <v/>
      </c>
      <c r="D16" s="5"/>
      <c r="E16" s="2"/>
      <c r="F16" s="2"/>
      <c r="G16" s="2"/>
      <c r="H16" s="2"/>
      <c r="I16" s="2"/>
      <c r="J16" s="2"/>
      <c r="K16" s="3"/>
      <c r="L16" s="4" t="str">
        <f t="shared" si="7"/>
        <v/>
      </c>
      <c r="M16" s="6"/>
      <c r="N16" s="2"/>
      <c r="O16" s="7"/>
      <c r="P16" s="8"/>
      <c r="Q16" s="8"/>
      <c r="R16" s="8"/>
      <c r="S16" s="9" t="str">
        <f t="shared" si="2"/>
        <v/>
      </c>
      <c r="T16" s="2"/>
      <c r="U16" s="10"/>
      <c r="V16" s="10"/>
      <c r="W16" s="11" t="str">
        <f>IF(A16="","",SUMIFS('Exit Log'!$I$5:$I$304,'Exit Log'!$A$5:$A$304,A16))</f>
        <v/>
      </c>
      <c r="X16" s="11" t="str">
        <f t="shared" si="3"/>
        <v/>
      </c>
      <c r="Y16" s="9" t="e">
        <f>IF(W16=0,"",SUMIFS('Exit Log'!$N$5:$N$304,'Exit Log'!$A$5:$A$304,A16)/(W16*100))</f>
        <v>#VALUE!</v>
      </c>
      <c r="Z16" s="9" t="str">
        <f>IF(A16="","",SUMIFS('Exit Log'!$N$5:$N$304,'Exit Log'!$A$5:$A$304,A16))</f>
        <v/>
      </c>
      <c r="AA16" s="9" t="str">
        <f>IF(A16="","",SUMIFS('Exit Log'!$K$5:$K$304,'Exit Log'!$A$5:$A$304,A16))</f>
        <v/>
      </c>
      <c r="AB16" s="9" t="str">
        <f>IF(A16="","",SUMIFS('Exit Log'!$P$5:$P$304,'Exit Log'!$A$5:$A$304,A16))</f>
        <v/>
      </c>
      <c r="AC16" s="12" t="e">
        <f t="shared" si="4"/>
        <v>#VALUE!</v>
      </c>
      <c r="AD16" s="4" t="str">
        <f t="shared" si="5"/>
        <v/>
      </c>
      <c r="AE16" s="13">
        <f>IF(W16=0,"",LOOKUP(2,1/('Exit Log'!$A$5:$A$304=A16),'Exit Log'!$C$5:$C$304))</f>
        <v>0</v>
      </c>
      <c r="AF16" s="14">
        <f>IF(W16=0,"",LOOKUP(2,1/('Exit Log'!$A$5:$A$304=A16),'Exit Log'!$E$5:$E$304))</f>
        <v>0</v>
      </c>
      <c r="AG16" s="2"/>
      <c r="AH16" s="2"/>
      <c r="AI16" s="10"/>
      <c r="AJ16" s="2"/>
    </row>
    <row r="17" spans="1:36">
      <c r="A17" s="2"/>
      <c r="B17" s="3"/>
      <c r="C17" s="4" t="str">
        <f t="shared" si="6"/>
        <v/>
      </c>
      <c r="D17" s="5"/>
      <c r="E17" s="2"/>
      <c r="F17" s="2"/>
      <c r="G17" s="2"/>
      <c r="H17" s="2"/>
      <c r="I17" s="2"/>
      <c r="J17" s="2"/>
      <c r="K17" s="3"/>
      <c r="L17" s="4" t="str">
        <f t="shared" si="7"/>
        <v/>
      </c>
      <c r="M17" s="6"/>
      <c r="N17" s="2"/>
      <c r="O17" s="7"/>
      <c r="P17" s="8"/>
      <c r="Q17" s="8"/>
      <c r="R17" s="8"/>
      <c r="S17" s="9" t="str">
        <f t="shared" si="2"/>
        <v/>
      </c>
      <c r="T17" s="2"/>
      <c r="U17" s="10"/>
      <c r="V17" s="10"/>
      <c r="W17" s="11" t="str">
        <f>IF(A17="","",SUMIFS('Exit Log'!$I$5:$I$304,'Exit Log'!$A$5:$A$304,A17))</f>
        <v/>
      </c>
      <c r="X17" s="11" t="str">
        <f t="shared" si="3"/>
        <v/>
      </c>
      <c r="Y17" s="9" t="e">
        <f>IF(W17=0,"",SUMIFS('Exit Log'!$N$5:$N$304,'Exit Log'!$A$5:$A$304,A17)/(W17*100))</f>
        <v>#VALUE!</v>
      </c>
      <c r="Z17" s="9" t="str">
        <f>IF(A17="","",SUMIFS('Exit Log'!$N$5:$N$304,'Exit Log'!$A$5:$A$304,A17))</f>
        <v/>
      </c>
      <c r="AA17" s="9" t="str">
        <f>IF(A17="","",SUMIFS('Exit Log'!$K$5:$K$304,'Exit Log'!$A$5:$A$304,A17))</f>
        <v/>
      </c>
      <c r="AB17" s="9" t="str">
        <f>IF(A17="","",SUMIFS('Exit Log'!$P$5:$P$304,'Exit Log'!$A$5:$A$304,A17))</f>
        <v/>
      </c>
      <c r="AC17" s="12" t="e">
        <f t="shared" si="4"/>
        <v>#VALUE!</v>
      </c>
      <c r="AD17" s="4" t="str">
        <f t="shared" si="5"/>
        <v/>
      </c>
      <c r="AE17" s="13">
        <f>IF(W17=0,"",LOOKUP(2,1/('Exit Log'!$A$5:$A$304=A17),'Exit Log'!$C$5:$C$304))</f>
        <v>0</v>
      </c>
      <c r="AF17" s="14">
        <f>IF(W17=0,"",LOOKUP(2,1/('Exit Log'!$A$5:$A$304=A17),'Exit Log'!$E$5:$E$304))</f>
        <v>0</v>
      </c>
      <c r="AG17" s="2"/>
      <c r="AH17" s="2"/>
      <c r="AI17" s="10"/>
      <c r="AJ17" s="2"/>
    </row>
    <row r="18" spans="1:36">
      <c r="A18" s="2"/>
      <c r="B18" s="3"/>
      <c r="C18" s="4" t="str">
        <f t="shared" si="6"/>
        <v/>
      </c>
      <c r="D18" s="5"/>
      <c r="E18" s="2"/>
      <c r="F18" s="2"/>
      <c r="G18" s="2"/>
      <c r="H18" s="2"/>
      <c r="I18" s="2"/>
      <c r="J18" s="2"/>
      <c r="K18" s="3"/>
      <c r="L18" s="4" t="str">
        <f t="shared" si="7"/>
        <v/>
      </c>
      <c r="M18" s="6"/>
      <c r="N18" s="2"/>
      <c r="O18" s="7"/>
      <c r="P18" s="8"/>
      <c r="Q18" s="8"/>
      <c r="R18" s="8"/>
      <c r="S18" s="9" t="str">
        <f t="shared" si="2"/>
        <v/>
      </c>
      <c r="T18" s="2"/>
      <c r="U18" s="10"/>
      <c r="V18" s="10"/>
      <c r="W18" s="11" t="str">
        <f>IF(A18="","",SUMIFS('Exit Log'!$I$5:$I$304,'Exit Log'!$A$5:$A$304,A18))</f>
        <v/>
      </c>
      <c r="X18" s="11" t="str">
        <f t="shared" si="3"/>
        <v/>
      </c>
      <c r="Y18" s="9" t="e">
        <f>IF(W18=0,"",SUMIFS('Exit Log'!$N$5:$N$304,'Exit Log'!$A$5:$A$304,A18)/(W18*100))</f>
        <v>#VALUE!</v>
      </c>
      <c r="Z18" s="9" t="str">
        <f>IF(A18="","",SUMIFS('Exit Log'!$N$5:$N$304,'Exit Log'!$A$5:$A$304,A18))</f>
        <v/>
      </c>
      <c r="AA18" s="9" t="str">
        <f>IF(A18="","",SUMIFS('Exit Log'!$K$5:$K$304,'Exit Log'!$A$5:$A$304,A18))</f>
        <v/>
      </c>
      <c r="AB18" s="9" t="str">
        <f>IF(A18="","",SUMIFS('Exit Log'!$P$5:$P$304,'Exit Log'!$A$5:$A$304,A18))</f>
        <v/>
      </c>
      <c r="AC18" s="12" t="e">
        <f t="shared" si="4"/>
        <v>#VALUE!</v>
      </c>
      <c r="AD18" s="4" t="str">
        <f t="shared" si="5"/>
        <v/>
      </c>
      <c r="AE18" s="13">
        <f>IF(W18=0,"",LOOKUP(2,1/('Exit Log'!$A$5:$A$304=A18),'Exit Log'!$C$5:$C$304))</f>
        <v>0</v>
      </c>
      <c r="AF18" s="14">
        <f>IF(W18=0,"",LOOKUP(2,1/('Exit Log'!$A$5:$A$304=A18),'Exit Log'!$E$5:$E$304))</f>
        <v>0</v>
      </c>
      <c r="AG18" s="2"/>
      <c r="AH18" s="2"/>
      <c r="AI18" s="10"/>
      <c r="AJ18" s="2"/>
    </row>
    <row r="19" spans="1:36">
      <c r="A19" s="2"/>
      <c r="B19" s="3"/>
      <c r="C19" s="4" t="str">
        <f t="shared" si="6"/>
        <v/>
      </c>
      <c r="D19" s="5"/>
      <c r="E19" s="2"/>
      <c r="F19" s="2"/>
      <c r="G19" s="2"/>
      <c r="H19" s="2"/>
      <c r="I19" s="2"/>
      <c r="J19" s="2"/>
      <c r="K19" s="3"/>
      <c r="L19" s="4" t="str">
        <f t="shared" si="7"/>
        <v/>
      </c>
      <c r="M19" s="6"/>
      <c r="N19" s="2"/>
      <c r="O19" s="7"/>
      <c r="P19" s="8"/>
      <c r="Q19" s="8"/>
      <c r="R19" s="8"/>
      <c r="S19" s="9" t="str">
        <f t="shared" si="2"/>
        <v/>
      </c>
      <c r="T19" s="2"/>
      <c r="U19" s="10"/>
      <c r="V19" s="10"/>
      <c r="W19" s="11" t="str">
        <f>IF(A19="","",SUMIFS('Exit Log'!$I$5:$I$304,'Exit Log'!$A$5:$A$304,A19))</f>
        <v/>
      </c>
      <c r="X19" s="11" t="str">
        <f t="shared" si="3"/>
        <v/>
      </c>
      <c r="Y19" s="9" t="e">
        <f>IF(W19=0,"",SUMIFS('Exit Log'!$N$5:$N$304,'Exit Log'!$A$5:$A$304,A19)/(W19*100))</f>
        <v>#VALUE!</v>
      </c>
      <c r="Z19" s="9" t="str">
        <f>IF(A19="","",SUMIFS('Exit Log'!$N$5:$N$304,'Exit Log'!$A$5:$A$304,A19))</f>
        <v/>
      </c>
      <c r="AA19" s="9" t="str">
        <f>IF(A19="","",SUMIFS('Exit Log'!$K$5:$K$304,'Exit Log'!$A$5:$A$304,A19))</f>
        <v/>
      </c>
      <c r="AB19" s="9" t="str">
        <f>IF(A19="","",SUMIFS('Exit Log'!$P$5:$P$304,'Exit Log'!$A$5:$A$304,A19))</f>
        <v/>
      </c>
      <c r="AC19" s="12" t="e">
        <f t="shared" si="4"/>
        <v>#VALUE!</v>
      </c>
      <c r="AD19" s="4" t="str">
        <f t="shared" si="5"/>
        <v/>
      </c>
      <c r="AE19" s="13">
        <f>IF(W19=0,"",LOOKUP(2,1/('Exit Log'!$A$5:$A$304=A19),'Exit Log'!$C$5:$C$304))</f>
        <v>0</v>
      </c>
      <c r="AF19" s="14">
        <f>IF(W19=0,"",LOOKUP(2,1/('Exit Log'!$A$5:$A$304=A19),'Exit Log'!$E$5:$E$304))</f>
        <v>0</v>
      </c>
      <c r="AG19" s="2"/>
      <c r="AH19" s="2"/>
      <c r="AI19" s="10"/>
      <c r="AJ19" s="2"/>
    </row>
    <row r="20" spans="1:36">
      <c r="A20" s="2"/>
      <c r="B20" s="3"/>
      <c r="C20" s="4" t="str">
        <f t="shared" si="6"/>
        <v/>
      </c>
      <c r="D20" s="5"/>
      <c r="E20" s="2"/>
      <c r="F20" s="2"/>
      <c r="G20" s="2"/>
      <c r="H20" s="2"/>
      <c r="I20" s="2"/>
      <c r="J20" s="2"/>
      <c r="K20" s="3"/>
      <c r="L20" s="4" t="str">
        <f t="shared" si="7"/>
        <v/>
      </c>
      <c r="M20" s="6"/>
      <c r="N20" s="2"/>
      <c r="O20" s="7"/>
      <c r="P20" s="8"/>
      <c r="Q20" s="8"/>
      <c r="R20" s="8"/>
      <c r="S20" s="9" t="str">
        <f t="shared" si="2"/>
        <v/>
      </c>
      <c r="T20" s="2"/>
      <c r="U20" s="10"/>
      <c r="V20" s="10"/>
      <c r="W20" s="11" t="str">
        <f>IF(A20="","",SUMIFS('Exit Log'!$I$5:$I$304,'Exit Log'!$A$5:$A$304,A20))</f>
        <v/>
      </c>
      <c r="X20" s="11" t="str">
        <f t="shared" si="3"/>
        <v/>
      </c>
      <c r="Y20" s="9" t="e">
        <f>IF(W20=0,"",SUMIFS('Exit Log'!$N$5:$N$304,'Exit Log'!$A$5:$A$304,A20)/(W20*100))</f>
        <v>#VALUE!</v>
      </c>
      <c r="Z20" s="9" t="str">
        <f>IF(A20="","",SUMIFS('Exit Log'!$N$5:$N$304,'Exit Log'!$A$5:$A$304,A20))</f>
        <v/>
      </c>
      <c r="AA20" s="9" t="str">
        <f>IF(A20="","",SUMIFS('Exit Log'!$K$5:$K$304,'Exit Log'!$A$5:$A$304,A20))</f>
        <v/>
      </c>
      <c r="AB20" s="9" t="str">
        <f>IF(A20="","",SUMIFS('Exit Log'!$P$5:$P$304,'Exit Log'!$A$5:$A$304,A20))</f>
        <v/>
      </c>
      <c r="AC20" s="12" t="e">
        <f t="shared" si="4"/>
        <v>#VALUE!</v>
      </c>
      <c r="AD20" s="4" t="str">
        <f t="shared" si="5"/>
        <v/>
      </c>
      <c r="AE20" s="13">
        <f>IF(W20=0,"",LOOKUP(2,1/('Exit Log'!$A$5:$A$304=A20),'Exit Log'!$C$5:$C$304))</f>
        <v>0</v>
      </c>
      <c r="AF20" s="14">
        <f>IF(W20=0,"",LOOKUP(2,1/('Exit Log'!$A$5:$A$304=A20),'Exit Log'!$E$5:$E$304))</f>
        <v>0</v>
      </c>
      <c r="AG20" s="2"/>
      <c r="AH20" s="2"/>
      <c r="AI20" s="10"/>
      <c r="AJ20" s="2"/>
    </row>
    <row r="21" spans="1:36">
      <c r="A21" s="2"/>
      <c r="B21" s="3"/>
      <c r="C21" s="4" t="str">
        <f t="shared" si="6"/>
        <v/>
      </c>
      <c r="D21" s="5"/>
      <c r="E21" s="2"/>
      <c r="F21" s="2"/>
      <c r="G21" s="2"/>
      <c r="H21" s="2"/>
      <c r="I21" s="2"/>
      <c r="J21" s="2"/>
      <c r="K21" s="3"/>
      <c r="L21" s="4" t="str">
        <f t="shared" si="7"/>
        <v/>
      </c>
      <c r="M21" s="6"/>
      <c r="N21" s="2"/>
      <c r="O21" s="7"/>
      <c r="P21" s="8"/>
      <c r="Q21" s="8"/>
      <c r="R21" s="8"/>
      <c r="S21" s="9" t="str">
        <f t="shared" si="2"/>
        <v/>
      </c>
      <c r="T21" s="2"/>
      <c r="U21" s="10"/>
      <c r="V21" s="10"/>
      <c r="W21" s="11" t="str">
        <f>IF(A21="","",SUMIFS('Exit Log'!$I$5:$I$304,'Exit Log'!$A$5:$A$304,A21))</f>
        <v/>
      </c>
      <c r="X21" s="11" t="str">
        <f t="shared" si="3"/>
        <v/>
      </c>
      <c r="Y21" s="9" t="e">
        <f>IF(W21=0,"",SUMIFS('Exit Log'!$N$5:$N$304,'Exit Log'!$A$5:$A$304,A21)/(W21*100))</f>
        <v>#VALUE!</v>
      </c>
      <c r="Z21" s="9" t="str">
        <f>IF(A21="","",SUMIFS('Exit Log'!$N$5:$N$304,'Exit Log'!$A$5:$A$304,A21))</f>
        <v/>
      </c>
      <c r="AA21" s="9" t="str">
        <f>IF(A21="","",SUMIFS('Exit Log'!$K$5:$K$304,'Exit Log'!$A$5:$A$304,A21))</f>
        <v/>
      </c>
      <c r="AB21" s="9" t="str">
        <f>IF(A21="","",SUMIFS('Exit Log'!$P$5:$P$304,'Exit Log'!$A$5:$A$304,A21))</f>
        <v/>
      </c>
      <c r="AC21" s="12" t="e">
        <f t="shared" si="4"/>
        <v>#VALUE!</v>
      </c>
      <c r="AD21" s="4" t="str">
        <f t="shared" si="5"/>
        <v/>
      </c>
      <c r="AE21" s="13">
        <f>IF(W21=0,"",LOOKUP(2,1/('Exit Log'!$A$5:$A$304=A21),'Exit Log'!$C$5:$C$304))</f>
        <v>0</v>
      </c>
      <c r="AF21" s="14">
        <f>IF(W21=0,"",LOOKUP(2,1/('Exit Log'!$A$5:$A$304=A21),'Exit Log'!$E$5:$E$304))</f>
        <v>0</v>
      </c>
      <c r="AG21" s="2"/>
      <c r="AH21" s="2"/>
      <c r="AI21" s="10"/>
      <c r="AJ21" s="2"/>
    </row>
    <row r="22" spans="1:36">
      <c r="A22" s="2"/>
      <c r="B22" s="3"/>
      <c r="C22" s="4" t="str">
        <f t="shared" si="6"/>
        <v/>
      </c>
      <c r="D22" s="5"/>
      <c r="E22" s="2"/>
      <c r="F22" s="2"/>
      <c r="G22" s="2"/>
      <c r="H22" s="2"/>
      <c r="I22" s="2"/>
      <c r="J22" s="2"/>
      <c r="K22" s="3"/>
      <c r="L22" s="4" t="str">
        <f t="shared" si="7"/>
        <v/>
      </c>
      <c r="M22" s="6"/>
      <c r="N22" s="2"/>
      <c r="O22" s="7"/>
      <c r="P22" s="8"/>
      <c r="Q22" s="8"/>
      <c r="R22" s="8"/>
      <c r="S22" s="9" t="str">
        <f t="shared" si="2"/>
        <v/>
      </c>
      <c r="T22" s="2"/>
      <c r="U22" s="10"/>
      <c r="V22" s="10"/>
      <c r="W22" s="11" t="str">
        <f>IF(A22="","",SUMIFS('Exit Log'!$I$5:$I$304,'Exit Log'!$A$5:$A$304,A22))</f>
        <v/>
      </c>
      <c r="X22" s="11" t="str">
        <f t="shared" si="3"/>
        <v/>
      </c>
      <c r="Y22" s="9" t="e">
        <f>IF(W22=0,"",SUMIFS('Exit Log'!$N$5:$N$304,'Exit Log'!$A$5:$A$304,A22)/(W22*100))</f>
        <v>#VALUE!</v>
      </c>
      <c r="Z22" s="9" t="str">
        <f>IF(A22="","",SUMIFS('Exit Log'!$N$5:$N$304,'Exit Log'!$A$5:$A$304,A22))</f>
        <v/>
      </c>
      <c r="AA22" s="9" t="str">
        <f>IF(A22="","",SUMIFS('Exit Log'!$K$5:$K$304,'Exit Log'!$A$5:$A$304,A22))</f>
        <v/>
      </c>
      <c r="AB22" s="9" t="str">
        <f>IF(A22="","",SUMIFS('Exit Log'!$P$5:$P$304,'Exit Log'!$A$5:$A$304,A22))</f>
        <v/>
      </c>
      <c r="AC22" s="12" t="e">
        <f t="shared" si="4"/>
        <v>#VALUE!</v>
      </c>
      <c r="AD22" s="4" t="str">
        <f t="shared" si="5"/>
        <v/>
      </c>
      <c r="AE22" s="13">
        <f>IF(W22=0,"",LOOKUP(2,1/('Exit Log'!$A$5:$A$304=A22),'Exit Log'!$C$5:$C$304))</f>
        <v>0</v>
      </c>
      <c r="AF22" s="14">
        <f>IF(W22=0,"",LOOKUP(2,1/('Exit Log'!$A$5:$A$304=A22),'Exit Log'!$E$5:$E$304))</f>
        <v>0</v>
      </c>
      <c r="AG22" s="2"/>
      <c r="AH22" s="2"/>
      <c r="AI22" s="10"/>
      <c r="AJ22" s="2"/>
    </row>
    <row r="23" spans="1:36">
      <c r="A23" s="2"/>
      <c r="B23" s="3"/>
      <c r="C23" s="4" t="str">
        <f t="shared" si="6"/>
        <v/>
      </c>
      <c r="D23" s="5"/>
      <c r="E23" s="2"/>
      <c r="F23" s="2"/>
      <c r="G23" s="2"/>
      <c r="H23" s="2"/>
      <c r="I23" s="2"/>
      <c r="J23" s="2"/>
      <c r="K23" s="3"/>
      <c r="L23" s="4" t="str">
        <f t="shared" si="7"/>
        <v/>
      </c>
      <c r="M23" s="6"/>
      <c r="N23" s="2"/>
      <c r="O23" s="7"/>
      <c r="P23" s="8"/>
      <c r="Q23" s="8"/>
      <c r="R23" s="8"/>
      <c r="S23" s="9" t="str">
        <f t="shared" si="2"/>
        <v/>
      </c>
      <c r="T23" s="2"/>
      <c r="U23" s="10"/>
      <c r="V23" s="10"/>
      <c r="W23" s="11" t="str">
        <f>IF(A23="","",SUMIFS('Exit Log'!$I$5:$I$304,'Exit Log'!$A$5:$A$304,A23))</f>
        <v/>
      </c>
      <c r="X23" s="11" t="str">
        <f t="shared" si="3"/>
        <v/>
      </c>
      <c r="Y23" s="9" t="e">
        <f>IF(W23=0,"",SUMIFS('Exit Log'!$N$5:$N$304,'Exit Log'!$A$5:$A$304,A23)/(W23*100))</f>
        <v>#VALUE!</v>
      </c>
      <c r="Z23" s="9" t="str">
        <f>IF(A23="","",SUMIFS('Exit Log'!$N$5:$N$304,'Exit Log'!$A$5:$A$304,A23))</f>
        <v/>
      </c>
      <c r="AA23" s="9" t="str">
        <f>IF(A23="","",SUMIFS('Exit Log'!$K$5:$K$304,'Exit Log'!$A$5:$A$304,A23))</f>
        <v/>
      </c>
      <c r="AB23" s="9" t="str">
        <f>IF(A23="","",SUMIFS('Exit Log'!$P$5:$P$304,'Exit Log'!$A$5:$A$304,A23))</f>
        <v/>
      </c>
      <c r="AC23" s="12" t="e">
        <f t="shared" si="4"/>
        <v>#VALUE!</v>
      </c>
      <c r="AD23" s="4" t="str">
        <f t="shared" si="5"/>
        <v/>
      </c>
      <c r="AE23" s="13">
        <f>IF(W23=0,"",LOOKUP(2,1/('Exit Log'!$A$5:$A$304=A23),'Exit Log'!$C$5:$C$304))</f>
        <v>0</v>
      </c>
      <c r="AF23" s="14">
        <f>IF(W23=0,"",LOOKUP(2,1/('Exit Log'!$A$5:$A$304=A23),'Exit Log'!$E$5:$E$304))</f>
        <v>0</v>
      </c>
      <c r="AG23" s="2"/>
      <c r="AH23" s="2"/>
      <c r="AI23" s="10"/>
      <c r="AJ23" s="2"/>
    </row>
    <row r="24" spans="1:36">
      <c r="A24" s="2"/>
      <c r="B24" s="3"/>
      <c r="C24" s="4" t="str">
        <f t="shared" si="6"/>
        <v/>
      </c>
      <c r="D24" s="5"/>
      <c r="E24" s="2"/>
      <c r="F24" s="2"/>
      <c r="G24" s="2"/>
      <c r="H24" s="2"/>
      <c r="I24" s="2"/>
      <c r="J24" s="2"/>
      <c r="K24" s="3"/>
      <c r="L24" s="4" t="str">
        <f t="shared" si="7"/>
        <v/>
      </c>
      <c r="M24" s="6"/>
      <c r="N24" s="2"/>
      <c r="O24" s="7"/>
      <c r="P24" s="8"/>
      <c r="Q24" s="8"/>
      <c r="R24" s="8"/>
      <c r="S24" s="9" t="str">
        <f t="shared" si="2"/>
        <v/>
      </c>
      <c r="T24" s="2"/>
      <c r="U24" s="10"/>
      <c r="V24" s="10"/>
      <c r="W24" s="11" t="str">
        <f>IF(A24="","",SUMIFS('Exit Log'!$I$5:$I$304,'Exit Log'!$A$5:$A$304,A24))</f>
        <v/>
      </c>
      <c r="X24" s="11" t="str">
        <f t="shared" si="3"/>
        <v/>
      </c>
      <c r="Y24" s="9" t="e">
        <f>IF(W24=0,"",SUMIFS('Exit Log'!$N$5:$N$304,'Exit Log'!$A$5:$A$304,A24)/(W24*100))</f>
        <v>#VALUE!</v>
      </c>
      <c r="Z24" s="9" t="str">
        <f>IF(A24="","",SUMIFS('Exit Log'!$N$5:$N$304,'Exit Log'!$A$5:$A$304,A24))</f>
        <v/>
      </c>
      <c r="AA24" s="9" t="str">
        <f>IF(A24="","",SUMIFS('Exit Log'!$K$5:$K$304,'Exit Log'!$A$5:$A$304,A24))</f>
        <v/>
      </c>
      <c r="AB24" s="9" t="str">
        <f>IF(A24="","",SUMIFS('Exit Log'!$P$5:$P$304,'Exit Log'!$A$5:$A$304,A24))</f>
        <v/>
      </c>
      <c r="AC24" s="12" t="e">
        <f t="shared" si="4"/>
        <v>#VALUE!</v>
      </c>
      <c r="AD24" s="4" t="str">
        <f t="shared" si="5"/>
        <v/>
      </c>
      <c r="AE24" s="13">
        <f>IF(W24=0,"",LOOKUP(2,1/('Exit Log'!$A$5:$A$304=A24),'Exit Log'!$C$5:$C$304))</f>
        <v>0</v>
      </c>
      <c r="AF24" s="14">
        <f>IF(W24=0,"",LOOKUP(2,1/('Exit Log'!$A$5:$A$304=A24),'Exit Log'!$E$5:$E$304))</f>
        <v>0</v>
      </c>
      <c r="AG24" s="2"/>
      <c r="AH24" s="2"/>
      <c r="AI24" s="10"/>
      <c r="AJ24" s="2"/>
    </row>
    <row r="25" spans="1:36">
      <c r="A25" s="2"/>
      <c r="B25" s="3"/>
      <c r="C25" s="4" t="str">
        <f t="shared" si="6"/>
        <v/>
      </c>
      <c r="D25" s="5"/>
      <c r="E25" s="2"/>
      <c r="F25" s="2"/>
      <c r="G25" s="2"/>
      <c r="H25" s="2"/>
      <c r="I25" s="2"/>
      <c r="J25" s="2"/>
      <c r="K25" s="3"/>
      <c r="L25" s="4" t="str">
        <f t="shared" si="7"/>
        <v/>
      </c>
      <c r="M25" s="6"/>
      <c r="N25" s="2"/>
      <c r="O25" s="7"/>
      <c r="P25" s="8"/>
      <c r="Q25" s="8"/>
      <c r="R25" s="8"/>
      <c r="S25" s="9" t="str">
        <f t="shared" si="2"/>
        <v/>
      </c>
      <c r="T25" s="2"/>
      <c r="U25" s="10"/>
      <c r="V25" s="10"/>
      <c r="W25" s="11" t="str">
        <f>IF(A25="","",SUMIFS('Exit Log'!$I$5:$I$304,'Exit Log'!$A$5:$A$304,A25))</f>
        <v/>
      </c>
      <c r="X25" s="11" t="str">
        <f t="shared" si="3"/>
        <v/>
      </c>
      <c r="Y25" s="9" t="e">
        <f>IF(W25=0,"",SUMIFS('Exit Log'!$N$5:$N$304,'Exit Log'!$A$5:$A$304,A25)/(W25*100))</f>
        <v>#VALUE!</v>
      </c>
      <c r="Z25" s="9" t="str">
        <f>IF(A25="","",SUMIFS('Exit Log'!$N$5:$N$304,'Exit Log'!$A$5:$A$304,A25))</f>
        <v/>
      </c>
      <c r="AA25" s="9" t="str">
        <f>IF(A25="","",SUMIFS('Exit Log'!$K$5:$K$304,'Exit Log'!$A$5:$A$304,A25))</f>
        <v/>
      </c>
      <c r="AB25" s="9" t="str">
        <f>IF(A25="","",SUMIFS('Exit Log'!$P$5:$P$304,'Exit Log'!$A$5:$A$304,A25))</f>
        <v/>
      </c>
      <c r="AC25" s="12" t="e">
        <f t="shared" si="4"/>
        <v>#VALUE!</v>
      </c>
      <c r="AD25" s="4" t="str">
        <f t="shared" si="5"/>
        <v/>
      </c>
      <c r="AE25" s="13">
        <f>IF(W25=0,"",LOOKUP(2,1/('Exit Log'!$A$5:$A$304=A25),'Exit Log'!$C$5:$C$304))</f>
        <v>0</v>
      </c>
      <c r="AF25" s="14">
        <f>IF(W25=0,"",LOOKUP(2,1/('Exit Log'!$A$5:$A$304=A25),'Exit Log'!$E$5:$E$304))</f>
        <v>0</v>
      </c>
      <c r="AG25" s="2"/>
      <c r="AH25" s="2"/>
      <c r="AI25" s="10"/>
      <c r="AJ25" s="2"/>
    </row>
    <row r="26" spans="1:36">
      <c r="A26" s="2"/>
      <c r="B26" s="3"/>
      <c r="C26" s="4" t="str">
        <f t="shared" si="6"/>
        <v/>
      </c>
      <c r="D26" s="5"/>
      <c r="E26" s="2"/>
      <c r="F26" s="2"/>
      <c r="G26" s="2"/>
      <c r="H26" s="2"/>
      <c r="I26" s="2"/>
      <c r="J26" s="2"/>
      <c r="K26" s="3"/>
      <c r="L26" s="4" t="str">
        <f t="shared" si="7"/>
        <v/>
      </c>
      <c r="M26" s="6"/>
      <c r="N26" s="2"/>
      <c r="O26" s="7"/>
      <c r="P26" s="8"/>
      <c r="Q26" s="8"/>
      <c r="R26" s="8"/>
      <c r="S26" s="9" t="str">
        <f t="shared" si="2"/>
        <v/>
      </c>
      <c r="T26" s="2"/>
      <c r="U26" s="10"/>
      <c r="V26" s="10"/>
      <c r="W26" s="11" t="str">
        <f>IF(A26="","",SUMIFS('Exit Log'!$I$5:$I$304,'Exit Log'!$A$5:$A$304,A26))</f>
        <v/>
      </c>
      <c r="X26" s="11" t="str">
        <f t="shared" si="3"/>
        <v/>
      </c>
      <c r="Y26" s="9" t="e">
        <f>IF(W26=0,"",SUMIFS('Exit Log'!$N$5:$N$304,'Exit Log'!$A$5:$A$304,A26)/(W26*100))</f>
        <v>#VALUE!</v>
      </c>
      <c r="Z26" s="9" t="str">
        <f>IF(A26="","",SUMIFS('Exit Log'!$N$5:$N$304,'Exit Log'!$A$5:$A$304,A26))</f>
        <v/>
      </c>
      <c r="AA26" s="9" t="str">
        <f>IF(A26="","",SUMIFS('Exit Log'!$K$5:$K$304,'Exit Log'!$A$5:$A$304,A26))</f>
        <v/>
      </c>
      <c r="AB26" s="9" t="str">
        <f>IF(A26="","",SUMIFS('Exit Log'!$P$5:$P$304,'Exit Log'!$A$5:$A$304,A26))</f>
        <v/>
      </c>
      <c r="AC26" s="12" t="e">
        <f t="shared" si="4"/>
        <v>#VALUE!</v>
      </c>
      <c r="AD26" s="4" t="str">
        <f t="shared" si="5"/>
        <v/>
      </c>
      <c r="AE26" s="13">
        <f>IF(W26=0,"",LOOKUP(2,1/('Exit Log'!$A$5:$A$304=A26),'Exit Log'!$C$5:$C$304))</f>
        <v>0</v>
      </c>
      <c r="AF26" s="14">
        <f>IF(W26=0,"",LOOKUP(2,1/('Exit Log'!$A$5:$A$304=A26),'Exit Log'!$E$5:$E$304))</f>
        <v>0</v>
      </c>
      <c r="AG26" s="2"/>
      <c r="AH26" s="2"/>
      <c r="AI26" s="10"/>
      <c r="AJ26" s="2"/>
    </row>
    <row r="27" spans="1:36">
      <c r="A27" s="2"/>
      <c r="B27" s="3"/>
      <c r="C27" s="4" t="str">
        <f t="shared" si="6"/>
        <v/>
      </c>
      <c r="D27" s="5"/>
      <c r="E27" s="2"/>
      <c r="F27" s="2"/>
      <c r="G27" s="2"/>
      <c r="H27" s="2"/>
      <c r="I27" s="2"/>
      <c r="J27" s="2"/>
      <c r="K27" s="3"/>
      <c r="L27" s="4" t="str">
        <f t="shared" si="7"/>
        <v/>
      </c>
      <c r="M27" s="6"/>
      <c r="N27" s="2"/>
      <c r="O27" s="7"/>
      <c r="P27" s="8"/>
      <c r="Q27" s="8"/>
      <c r="R27" s="8"/>
      <c r="S27" s="9" t="str">
        <f t="shared" si="2"/>
        <v/>
      </c>
      <c r="T27" s="2"/>
      <c r="U27" s="10"/>
      <c r="V27" s="10"/>
      <c r="W27" s="11" t="str">
        <f>IF(A27="","",SUMIFS('Exit Log'!$I$5:$I$304,'Exit Log'!$A$5:$A$304,A27))</f>
        <v/>
      </c>
      <c r="X27" s="11" t="str">
        <f t="shared" si="3"/>
        <v/>
      </c>
      <c r="Y27" s="9" t="e">
        <f>IF(W27=0,"",SUMIFS('Exit Log'!$N$5:$N$304,'Exit Log'!$A$5:$A$304,A27)/(W27*100))</f>
        <v>#VALUE!</v>
      </c>
      <c r="Z27" s="9" t="str">
        <f>IF(A27="","",SUMIFS('Exit Log'!$N$5:$N$304,'Exit Log'!$A$5:$A$304,A27))</f>
        <v/>
      </c>
      <c r="AA27" s="9" t="str">
        <f>IF(A27="","",SUMIFS('Exit Log'!$K$5:$K$304,'Exit Log'!$A$5:$A$304,A27))</f>
        <v/>
      </c>
      <c r="AB27" s="9" t="str">
        <f>IF(A27="","",SUMIFS('Exit Log'!$P$5:$P$304,'Exit Log'!$A$5:$A$304,A27))</f>
        <v/>
      </c>
      <c r="AC27" s="12" t="e">
        <f t="shared" si="4"/>
        <v>#VALUE!</v>
      </c>
      <c r="AD27" s="4" t="str">
        <f t="shared" si="5"/>
        <v/>
      </c>
      <c r="AE27" s="13">
        <f>IF(W27=0,"",LOOKUP(2,1/('Exit Log'!$A$5:$A$304=A27),'Exit Log'!$C$5:$C$304))</f>
        <v>0</v>
      </c>
      <c r="AF27" s="14">
        <f>IF(W27=0,"",LOOKUP(2,1/('Exit Log'!$A$5:$A$304=A27),'Exit Log'!$E$5:$E$304))</f>
        <v>0</v>
      </c>
      <c r="AG27" s="2"/>
      <c r="AH27" s="2"/>
      <c r="AI27" s="10"/>
      <c r="AJ27" s="2"/>
    </row>
    <row r="28" spans="1:36">
      <c r="A28" s="2"/>
      <c r="B28" s="3"/>
      <c r="C28" s="4" t="str">
        <f t="shared" si="6"/>
        <v/>
      </c>
      <c r="D28" s="5"/>
      <c r="E28" s="2"/>
      <c r="F28" s="2"/>
      <c r="G28" s="2"/>
      <c r="H28" s="2"/>
      <c r="I28" s="2"/>
      <c r="J28" s="2"/>
      <c r="K28" s="3"/>
      <c r="L28" s="4" t="str">
        <f t="shared" si="7"/>
        <v/>
      </c>
      <c r="M28" s="6"/>
      <c r="N28" s="2"/>
      <c r="O28" s="7"/>
      <c r="P28" s="8"/>
      <c r="Q28" s="8"/>
      <c r="R28" s="8"/>
      <c r="S28" s="9" t="str">
        <f t="shared" si="2"/>
        <v/>
      </c>
      <c r="T28" s="2"/>
      <c r="U28" s="10"/>
      <c r="V28" s="10"/>
      <c r="W28" s="11" t="str">
        <f>IF(A28="","",SUMIFS('Exit Log'!$I$5:$I$304,'Exit Log'!$A$5:$A$304,A28))</f>
        <v/>
      </c>
      <c r="X28" s="11" t="str">
        <f t="shared" si="3"/>
        <v/>
      </c>
      <c r="Y28" s="9" t="e">
        <f>IF(W28=0,"",SUMIFS('Exit Log'!$N$5:$N$304,'Exit Log'!$A$5:$A$304,A28)/(W28*100))</f>
        <v>#VALUE!</v>
      </c>
      <c r="Z28" s="9" t="str">
        <f>IF(A28="","",SUMIFS('Exit Log'!$N$5:$N$304,'Exit Log'!$A$5:$A$304,A28))</f>
        <v/>
      </c>
      <c r="AA28" s="9" t="str">
        <f>IF(A28="","",SUMIFS('Exit Log'!$K$5:$K$304,'Exit Log'!$A$5:$A$304,A28))</f>
        <v/>
      </c>
      <c r="AB28" s="9" t="str">
        <f>IF(A28="","",SUMIFS('Exit Log'!$P$5:$P$304,'Exit Log'!$A$5:$A$304,A28))</f>
        <v/>
      </c>
      <c r="AC28" s="12" t="e">
        <f t="shared" si="4"/>
        <v>#VALUE!</v>
      </c>
      <c r="AD28" s="4" t="str">
        <f t="shared" si="5"/>
        <v/>
      </c>
      <c r="AE28" s="13">
        <f>IF(W28=0,"",LOOKUP(2,1/('Exit Log'!$A$5:$A$304=A28),'Exit Log'!$C$5:$C$304))</f>
        <v>0</v>
      </c>
      <c r="AF28" s="14">
        <f>IF(W28=0,"",LOOKUP(2,1/('Exit Log'!$A$5:$A$304=A28),'Exit Log'!$E$5:$E$304))</f>
        <v>0</v>
      </c>
      <c r="AG28" s="2"/>
      <c r="AH28" s="2"/>
      <c r="AI28" s="10"/>
      <c r="AJ28" s="2"/>
    </row>
    <row r="29" spans="1:36">
      <c r="A29" s="2"/>
      <c r="B29" s="3"/>
      <c r="C29" s="4" t="str">
        <f t="shared" si="6"/>
        <v/>
      </c>
      <c r="D29" s="5"/>
      <c r="E29" s="2"/>
      <c r="F29" s="2"/>
      <c r="G29" s="2"/>
      <c r="H29" s="2"/>
      <c r="I29" s="2"/>
      <c r="J29" s="2"/>
      <c r="K29" s="3"/>
      <c r="L29" s="4" t="str">
        <f t="shared" si="7"/>
        <v/>
      </c>
      <c r="M29" s="6"/>
      <c r="N29" s="2"/>
      <c r="O29" s="7"/>
      <c r="P29" s="8"/>
      <c r="Q29" s="8"/>
      <c r="R29" s="8"/>
      <c r="S29" s="9" t="str">
        <f t="shared" si="2"/>
        <v/>
      </c>
      <c r="T29" s="2"/>
      <c r="U29" s="10"/>
      <c r="V29" s="10"/>
      <c r="W29" s="11" t="str">
        <f>IF(A29="","",SUMIFS('Exit Log'!$I$5:$I$304,'Exit Log'!$A$5:$A$304,A29))</f>
        <v/>
      </c>
      <c r="X29" s="11" t="str">
        <f t="shared" si="3"/>
        <v/>
      </c>
      <c r="Y29" s="9" t="e">
        <f>IF(W29=0,"",SUMIFS('Exit Log'!$N$5:$N$304,'Exit Log'!$A$5:$A$304,A29)/(W29*100))</f>
        <v>#VALUE!</v>
      </c>
      <c r="Z29" s="9" t="str">
        <f>IF(A29="","",SUMIFS('Exit Log'!$N$5:$N$304,'Exit Log'!$A$5:$A$304,A29))</f>
        <v/>
      </c>
      <c r="AA29" s="9" t="str">
        <f>IF(A29="","",SUMIFS('Exit Log'!$K$5:$K$304,'Exit Log'!$A$5:$A$304,A29))</f>
        <v/>
      </c>
      <c r="AB29" s="9" t="str">
        <f>IF(A29="","",SUMIFS('Exit Log'!$P$5:$P$304,'Exit Log'!$A$5:$A$304,A29))</f>
        <v/>
      </c>
      <c r="AC29" s="12" t="e">
        <f t="shared" si="4"/>
        <v>#VALUE!</v>
      </c>
      <c r="AD29" s="4" t="str">
        <f t="shared" si="5"/>
        <v/>
      </c>
      <c r="AE29" s="13">
        <f>IF(W29=0,"",LOOKUP(2,1/('Exit Log'!$A$5:$A$304=A29),'Exit Log'!$C$5:$C$304))</f>
        <v>0</v>
      </c>
      <c r="AF29" s="14">
        <f>IF(W29=0,"",LOOKUP(2,1/('Exit Log'!$A$5:$A$304=A29),'Exit Log'!$E$5:$E$304))</f>
        <v>0</v>
      </c>
      <c r="AG29" s="2"/>
      <c r="AH29" s="2"/>
      <c r="AI29" s="10"/>
      <c r="AJ29" s="2"/>
    </row>
    <row r="30" spans="1:36">
      <c r="A30" s="2"/>
      <c r="B30" s="3"/>
      <c r="C30" s="4" t="str">
        <f t="shared" si="6"/>
        <v/>
      </c>
      <c r="D30" s="5"/>
      <c r="E30" s="2"/>
      <c r="F30" s="2"/>
      <c r="G30" s="2"/>
      <c r="H30" s="2"/>
      <c r="I30" s="2"/>
      <c r="J30" s="2"/>
      <c r="K30" s="3"/>
      <c r="L30" s="4" t="str">
        <f t="shared" si="7"/>
        <v/>
      </c>
      <c r="M30" s="6"/>
      <c r="N30" s="2"/>
      <c r="O30" s="7"/>
      <c r="P30" s="8"/>
      <c r="Q30" s="8"/>
      <c r="R30" s="8"/>
      <c r="S30" s="9" t="str">
        <f t="shared" si="2"/>
        <v/>
      </c>
      <c r="T30" s="2"/>
      <c r="U30" s="10"/>
      <c r="V30" s="10"/>
      <c r="W30" s="11" t="str">
        <f>IF(A30="","",SUMIFS('Exit Log'!$I$5:$I$304,'Exit Log'!$A$5:$A$304,A30))</f>
        <v/>
      </c>
      <c r="X30" s="11" t="str">
        <f t="shared" si="3"/>
        <v/>
      </c>
      <c r="Y30" s="9" t="e">
        <f>IF(W30=0,"",SUMIFS('Exit Log'!$N$5:$N$304,'Exit Log'!$A$5:$A$304,A30)/(W30*100))</f>
        <v>#VALUE!</v>
      </c>
      <c r="Z30" s="9" t="str">
        <f>IF(A30="","",SUMIFS('Exit Log'!$N$5:$N$304,'Exit Log'!$A$5:$A$304,A30))</f>
        <v/>
      </c>
      <c r="AA30" s="9" t="str">
        <f>IF(A30="","",SUMIFS('Exit Log'!$K$5:$K$304,'Exit Log'!$A$5:$A$304,A30))</f>
        <v/>
      </c>
      <c r="AB30" s="9" t="str">
        <f>IF(A30="","",SUMIFS('Exit Log'!$P$5:$P$304,'Exit Log'!$A$5:$A$304,A30))</f>
        <v/>
      </c>
      <c r="AC30" s="12" t="e">
        <f t="shared" si="4"/>
        <v>#VALUE!</v>
      </c>
      <c r="AD30" s="4" t="str">
        <f t="shared" si="5"/>
        <v/>
      </c>
      <c r="AE30" s="13">
        <f>IF(W30=0,"",LOOKUP(2,1/('Exit Log'!$A$5:$A$304=A30),'Exit Log'!$C$5:$C$304))</f>
        <v>0</v>
      </c>
      <c r="AF30" s="14">
        <f>IF(W30=0,"",LOOKUP(2,1/('Exit Log'!$A$5:$A$304=A30),'Exit Log'!$E$5:$E$304))</f>
        <v>0</v>
      </c>
      <c r="AG30" s="2"/>
      <c r="AH30" s="2"/>
      <c r="AI30" s="10"/>
      <c r="AJ30" s="2"/>
    </row>
    <row r="31" spans="1:36">
      <c r="A31" s="2"/>
      <c r="B31" s="3"/>
      <c r="C31" s="4" t="str">
        <f t="shared" si="6"/>
        <v/>
      </c>
      <c r="D31" s="5"/>
      <c r="E31" s="2"/>
      <c r="F31" s="2"/>
      <c r="G31" s="2"/>
      <c r="H31" s="2"/>
      <c r="I31" s="2"/>
      <c r="J31" s="2"/>
      <c r="K31" s="3"/>
      <c r="L31" s="4" t="str">
        <f t="shared" si="7"/>
        <v/>
      </c>
      <c r="M31" s="6"/>
      <c r="N31" s="2"/>
      <c r="O31" s="7"/>
      <c r="P31" s="8"/>
      <c r="Q31" s="8"/>
      <c r="R31" s="8"/>
      <c r="S31" s="9" t="str">
        <f t="shared" si="2"/>
        <v/>
      </c>
      <c r="T31" s="2"/>
      <c r="U31" s="10"/>
      <c r="V31" s="10"/>
      <c r="W31" s="11" t="str">
        <f>IF(A31="","",SUMIFS('Exit Log'!$I$5:$I$304,'Exit Log'!$A$5:$A$304,A31))</f>
        <v/>
      </c>
      <c r="X31" s="11" t="str">
        <f t="shared" si="3"/>
        <v/>
      </c>
      <c r="Y31" s="9" t="e">
        <f>IF(W31=0,"",SUMIFS('Exit Log'!$N$5:$N$304,'Exit Log'!$A$5:$A$304,A31)/(W31*100))</f>
        <v>#VALUE!</v>
      </c>
      <c r="Z31" s="9" t="str">
        <f>IF(A31="","",SUMIFS('Exit Log'!$N$5:$N$304,'Exit Log'!$A$5:$A$304,A31))</f>
        <v/>
      </c>
      <c r="AA31" s="9" t="str">
        <f>IF(A31="","",SUMIFS('Exit Log'!$K$5:$K$304,'Exit Log'!$A$5:$A$304,A31))</f>
        <v/>
      </c>
      <c r="AB31" s="9" t="str">
        <f>IF(A31="","",SUMIFS('Exit Log'!$P$5:$P$304,'Exit Log'!$A$5:$A$304,A31))</f>
        <v/>
      </c>
      <c r="AC31" s="12" t="e">
        <f t="shared" si="4"/>
        <v>#VALUE!</v>
      </c>
      <c r="AD31" s="4" t="str">
        <f t="shared" si="5"/>
        <v/>
      </c>
      <c r="AE31" s="13">
        <f>IF(W31=0,"",LOOKUP(2,1/('Exit Log'!$A$5:$A$304=A31),'Exit Log'!$C$5:$C$304))</f>
        <v>0</v>
      </c>
      <c r="AF31" s="14">
        <f>IF(W31=0,"",LOOKUP(2,1/('Exit Log'!$A$5:$A$304=A31),'Exit Log'!$E$5:$E$304))</f>
        <v>0</v>
      </c>
      <c r="AG31" s="2"/>
      <c r="AH31" s="2"/>
      <c r="AI31" s="10"/>
      <c r="AJ31" s="2"/>
    </row>
    <row r="32" spans="1:36">
      <c r="A32" s="2"/>
      <c r="B32" s="3"/>
      <c r="C32" s="4" t="str">
        <f t="shared" si="6"/>
        <v/>
      </c>
      <c r="D32" s="5"/>
      <c r="E32" s="2"/>
      <c r="F32" s="2"/>
      <c r="G32" s="2"/>
      <c r="H32" s="2"/>
      <c r="I32" s="2"/>
      <c r="J32" s="2"/>
      <c r="K32" s="3"/>
      <c r="L32" s="4" t="str">
        <f t="shared" si="7"/>
        <v/>
      </c>
      <c r="M32" s="6"/>
      <c r="N32" s="2"/>
      <c r="O32" s="7"/>
      <c r="P32" s="8"/>
      <c r="Q32" s="8"/>
      <c r="R32" s="8"/>
      <c r="S32" s="9" t="str">
        <f t="shared" si="2"/>
        <v/>
      </c>
      <c r="T32" s="2"/>
      <c r="U32" s="10"/>
      <c r="V32" s="10"/>
      <c r="W32" s="11" t="str">
        <f>IF(A32="","",SUMIFS('Exit Log'!$I$5:$I$304,'Exit Log'!$A$5:$A$304,A32))</f>
        <v/>
      </c>
      <c r="X32" s="11" t="str">
        <f t="shared" si="3"/>
        <v/>
      </c>
      <c r="Y32" s="9" t="e">
        <f>IF(W32=0,"",SUMIFS('Exit Log'!$N$5:$N$304,'Exit Log'!$A$5:$A$304,A32)/(W32*100))</f>
        <v>#VALUE!</v>
      </c>
      <c r="Z32" s="9" t="str">
        <f>IF(A32="","",SUMIFS('Exit Log'!$N$5:$N$304,'Exit Log'!$A$5:$A$304,A32))</f>
        <v/>
      </c>
      <c r="AA32" s="9" t="str">
        <f>IF(A32="","",SUMIFS('Exit Log'!$K$5:$K$304,'Exit Log'!$A$5:$A$304,A32))</f>
        <v/>
      </c>
      <c r="AB32" s="9" t="str">
        <f>IF(A32="","",SUMIFS('Exit Log'!$P$5:$P$304,'Exit Log'!$A$5:$A$304,A32))</f>
        <v/>
      </c>
      <c r="AC32" s="12" t="e">
        <f t="shared" si="4"/>
        <v>#VALUE!</v>
      </c>
      <c r="AD32" s="4" t="str">
        <f t="shared" si="5"/>
        <v/>
      </c>
      <c r="AE32" s="13">
        <f>IF(W32=0,"",LOOKUP(2,1/('Exit Log'!$A$5:$A$304=A32),'Exit Log'!$C$5:$C$304))</f>
        <v>0</v>
      </c>
      <c r="AF32" s="14">
        <f>IF(W32=0,"",LOOKUP(2,1/('Exit Log'!$A$5:$A$304=A32),'Exit Log'!$E$5:$E$304))</f>
        <v>0</v>
      </c>
      <c r="AG32" s="2"/>
      <c r="AH32" s="2"/>
      <c r="AI32" s="10"/>
      <c r="AJ32" s="2"/>
    </row>
    <row r="33" spans="1:36">
      <c r="A33" s="2"/>
      <c r="B33" s="3"/>
      <c r="C33" s="4" t="str">
        <f t="shared" si="6"/>
        <v/>
      </c>
      <c r="D33" s="5"/>
      <c r="E33" s="2"/>
      <c r="F33" s="2"/>
      <c r="G33" s="2"/>
      <c r="H33" s="2"/>
      <c r="I33" s="2"/>
      <c r="J33" s="2"/>
      <c r="K33" s="3"/>
      <c r="L33" s="4" t="str">
        <f t="shared" si="7"/>
        <v/>
      </c>
      <c r="M33" s="6"/>
      <c r="N33" s="2"/>
      <c r="O33" s="7"/>
      <c r="P33" s="8"/>
      <c r="Q33" s="8"/>
      <c r="R33" s="8"/>
      <c r="S33" s="9" t="str">
        <f t="shared" si="2"/>
        <v/>
      </c>
      <c r="T33" s="2"/>
      <c r="U33" s="10"/>
      <c r="V33" s="10"/>
      <c r="W33" s="11" t="str">
        <f>IF(A33="","",SUMIFS('Exit Log'!$I$5:$I$304,'Exit Log'!$A$5:$A$304,A33))</f>
        <v/>
      </c>
      <c r="X33" s="11" t="str">
        <f t="shared" si="3"/>
        <v/>
      </c>
      <c r="Y33" s="9" t="e">
        <f>IF(W33=0,"",SUMIFS('Exit Log'!$N$5:$N$304,'Exit Log'!$A$5:$A$304,A33)/(W33*100))</f>
        <v>#VALUE!</v>
      </c>
      <c r="Z33" s="9" t="str">
        <f>IF(A33="","",SUMIFS('Exit Log'!$N$5:$N$304,'Exit Log'!$A$5:$A$304,A33))</f>
        <v/>
      </c>
      <c r="AA33" s="9" t="str">
        <f>IF(A33="","",SUMIFS('Exit Log'!$K$5:$K$304,'Exit Log'!$A$5:$A$304,A33))</f>
        <v/>
      </c>
      <c r="AB33" s="9" t="str">
        <f>IF(A33="","",SUMIFS('Exit Log'!$P$5:$P$304,'Exit Log'!$A$5:$A$304,A33))</f>
        <v/>
      </c>
      <c r="AC33" s="12" t="e">
        <f t="shared" si="4"/>
        <v>#VALUE!</v>
      </c>
      <c r="AD33" s="4" t="str">
        <f t="shared" si="5"/>
        <v/>
      </c>
      <c r="AE33" s="13">
        <f>IF(W33=0,"",LOOKUP(2,1/('Exit Log'!$A$5:$A$304=A33),'Exit Log'!$C$5:$C$304))</f>
        <v>0</v>
      </c>
      <c r="AF33" s="14">
        <f>IF(W33=0,"",LOOKUP(2,1/('Exit Log'!$A$5:$A$304=A33),'Exit Log'!$E$5:$E$304))</f>
        <v>0</v>
      </c>
      <c r="AG33" s="2"/>
      <c r="AH33" s="2"/>
      <c r="AI33" s="10"/>
      <c r="AJ33" s="2"/>
    </row>
    <row r="34" spans="1:36">
      <c r="A34" s="2"/>
      <c r="B34" s="3"/>
      <c r="C34" s="4" t="str">
        <f t="shared" si="6"/>
        <v/>
      </c>
      <c r="D34" s="5"/>
      <c r="E34" s="2"/>
      <c r="F34" s="2"/>
      <c r="G34" s="2"/>
      <c r="H34" s="2"/>
      <c r="I34" s="2"/>
      <c r="J34" s="2"/>
      <c r="K34" s="3"/>
      <c r="L34" s="4" t="str">
        <f t="shared" si="7"/>
        <v/>
      </c>
      <c r="M34" s="6"/>
      <c r="N34" s="2"/>
      <c r="O34" s="7"/>
      <c r="P34" s="8"/>
      <c r="Q34" s="8"/>
      <c r="R34" s="8"/>
      <c r="S34" s="9" t="str">
        <f t="shared" si="2"/>
        <v/>
      </c>
      <c r="T34" s="2"/>
      <c r="U34" s="10"/>
      <c r="V34" s="10"/>
      <c r="W34" s="11" t="str">
        <f>IF(A34="","",SUMIFS('Exit Log'!$I$5:$I$304,'Exit Log'!$A$5:$A$304,A34))</f>
        <v/>
      </c>
      <c r="X34" s="11" t="str">
        <f t="shared" si="3"/>
        <v/>
      </c>
      <c r="Y34" s="9" t="e">
        <f>IF(W34=0,"",SUMIFS('Exit Log'!$N$5:$N$304,'Exit Log'!$A$5:$A$304,A34)/(W34*100))</f>
        <v>#VALUE!</v>
      </c>
      <c r="Z34" s="9" t="str">
        <f>IF(A34="","",SUMIFS('Exit Log'!$N$5:$N$304,'Exit Log'!$A$5:$A$304,A34))</f>
        <v/>
      </c>
      <c r="AA34" s="9" t="str">
        <f>IF(A34="","",SUMIFS('Exit Log'!$K$5:$K$304,'Exit Log'!$A$5:$A$304,A34))</f>
        <v/>
      </c>
      <c r="AB34" s="9" t="str">
        <f>IF(A34="","",SUMIFS('Exit Log'!$P$5:$P$304,'Exit Log'!$A$5:$A$304,A34))</f>
        <v/>
      </c>
      <c r="AC34" s="12" t="e">
        <f t="shared" si="4"/>
        <v>#VALUE!</v>
      </c>
      <c r="AD34" s="4" t="str">
        <f t="shared" si="5"/>
        <v/>
      </c>
      <c r="AE34" s="13">
        <f>IF(W34=0,"",LOOKUP(2,1/('Exit Log'!$A$5:$A$304=A34),'Exit Log'!$C$5:$C$304))</f>
        <v>0</v>
      </c>
      <c r="AF34" s="14">
        <f>IF(W34=0,"",LOOKUP(2,1/('Exit Log'!$A$5:$A$304=A34),'Exit Log'!$E$5:$E$304))</f>
        <v>0</v>
      </c>
      <c r="AG34" s="2"/>
      <c r="AH34" s="2"/>
      <c r="AI34" s="10"/>
      <c r="AJ34" s="2"/>
    </row>
    <row r="35" spans="1:36">
      <c r="A35" s="2"/>
      <c r="B35" s="3"/>
      <c r="C35" s="4" t="str">
        <f t="shared" si="6"/>
        <v/>
      </c>
      <c r="D35" s="5"/>
      <c r="E35" s="2"/>
      <c r="F35" s="2"/>
      <c r="G35" s="2"/>
      <c r="H35" s="2"/>
      <c r="I35" s="2"/>
      <c r="J35" s="2"/>
      <c r="K35" s="3"/>
      <c r="L35" s="4" t="str">
        <f t="shared" si="7"/>
        <v/>
      </c>
      <c r="M35" s="6"/>
      <c r="N35" s="2"/>
      <c r="O35" s="7"/>
      <c r="P35" s="8"/>
      <c r="Q35" s="8"/>
      <c r="R35" s="8"/>
      <c r="S35" s="9" t="str">
        <f t="shared" si="2"/>
        <v/>
      </c>
      <c r="T35" s="2"/>
      <c r="U35" s="10"/>
      <c r="V35" s="10"/>
      <c r="W35" s="11" t="str">
        <f>IF(A35="","",SUMIFS('Exit Log'!$I$5:$I$304,'Exit Log'!$A$5:$A$304,A35))</f>
        <v/>
      </c>
      <c r="X35" s="11" t="str">
        <f t="shared" si="3"/>
        <v/>
      </c>
      <c r="Y35" s="9" t="e">
        <f>IF(W35=0,"",SUMIFS('Exit Log'!$N$5:$N$304,'Exit Log'!$A$5:$A$304,A35)/(W35*100))</f>
        <v>#VALUE!</v>
      </c>
      <c r="Z35" s="9" t="str">
        <f>IF(A35="","",SUMIFS('Exit Log'!$N$5:$N$304,'Exit Log'!$A$5:$A$304,A35))</f>
        <v/>
      </c>
      <c r="AA35" s="9" t="str">
        <f>IF(A35="","",SUMIFS('Exit Log'!$K$5:$K$304,'Exit Log'!$A$5:$A$304,A35))</f>
        <v/>
      </c>
      <c r="AB35" s="9" t="str">
        <f>IF(A35="","",SUMIFS('Exit Log'!$P$5:$P$304,'Exit Log'!$A$5:$A$304,A35))</f>
        <v/>
      </c>
      <c r="AC35" s="12" t="e">
        <f t="shared" si="4"/>
        <v>#VALUE!</v>
      </c>
      <c r="AD35" s="4" t="str">
        <f t="shared" si="5"/>
        <v/>
      </c>
      <c r="AE35" s="13">
        <f>IF(W35=0,"",LOOKUP(2,1/('Exit Log'!$A$5:$A$304=A35),'Exit Log'!$C$5:$C$304))</f>
        <v>0</v>
      </c>
      <c r="AF35" s="14">
        <f>IF(W35=0,"",LOOKUP(2,1/('Exit Log'!$A$5:$A$304=A35),'Exit Log'!$E$5:$E$304))</f>
        <v>0</v>
      </c>
      <c r="AG35" s="2"/>
      <c r="AH35" s="2"/>
      <c r="AI35" s="10"/>
      <c r="AJ35" s="2"/>
    </row>
    <row r="36" spans="1:36">
      <c r="A36" s="2"/>
      <c r="B36" s="3"/>
      <c r="C36" s="4" t="str">
        <f t="shared" si="6"/>
        <v/>
      </c>
      <c r="D36" s="5"/>
      <c r="E36" s="2"/>
      <c r="F36" s="2"/>
      <c r="G36" s="2"/>
      <c r="H36" s="2"/>
      <c r="I36" s="2"/>
      <c r="J36" s="2"/>
      <c r="K36" s="3"/>
      <c r="L36" s="4" t="str">
        <f t="shared" si="7"/>
        <v/>
      </c>
      <c r="M36" s="6"/>
      <c r="N36" s="2"/>
      <c r="O36" s="7"/>
      <c r="P36" s="8"/>
      <c r="Q36" s="8"/>
      <c r="R36" s="8"/>
      <c r="S36" s="9" t="str">
        <f t="shared" si="2"/>
        <v/>
      </c>
      <c r="T36" s="2"/>
      <c r="U36" s="10"/>
      <c r="V36" s="10"/>
      <c r="W36" s="11" t="str">
        <f>IF(A36="","",SUMIFS('Exit Log'!$I$5:$I$304,'Exit Log'!$A$5:$A$304,A36))</f>
        <v/>
      </c>
      <c r="X36" s="11" t="str">
        <f t="shared" si="3"/>
        <v/>
      </c>
      <c r="Y36" s="9" t="e">
        <f>IF(W36=0,"",SUMIFS('Exit Log'!$N$5:$N$304,'Exit Log'!$A$5:$A$304,A36)/(W36*100))</f>
        <v>#VALUE!</v>
      </c>
      <c r="Z36" s="9" t="str">
        <f>IF(A36="","",SUMIFS('Exit Log'!$N$5:$N$304,'Exit Log'!$A$5:$A$304,A36))</f>
        <v/>
      </c>
      <c r="AA36" s="9" t="str">
        <f>IF(A36="","",SUMIFS('Exit Log'!$K$5:$K$304,'Exit Log'!$A$5:$A$304,A36))</f>
        <v/>
      </c>
      <c r="AB36" s="9" t="str">
        <f>IF(A36="","",SUMIFS('Exit Log'!$P$5:$P$304,'Exit Log'!$A$5:$A$304,A36))</f>
        <v/>
      </c>
      <c r="AC36" s="12" t="e">
        <f t="shared" si="4"/>
        <v>#VALUE!</v>
      </c>
      <c r="AD36" s="4" t="str">
        <f t="shared" si="5"/>
        <v/>
      </c>
      <c r="AE36" s="13">
        <f>IF(W36=0,"",LOOKUP(2,1/('Exit Log'!$A$5:$A$304=A36),'Exit Log'!$C$5:$C$304))</f>
        <v>0</v>
      </c>
      <c r="AF36" s="14">
        <f>IF(W36=0,"",LOOKUP(2,1/('Exit Log'!$A$5:$A$304=A36),'Exit Log'!$E$5:$E$304))</f>
        <v>0</v>
      </c>
      <c r="AG36" s="2"/>
      <c r="AH36" s="2"/>
      <c r="AI36" s="10"/>
      <c r="AJ36" s="2"/>
    </row>
    <row r="37" spans="1:36">
      <c r="A37" s="2"/>
      <c r="B37" s="3"/>
      <c r="C37" s="4" t="str">
        <f t="shared" ref="C37:C68" si="8">IF(B37="","",TEXT(B37,"dddd"))</f>
        <v/>
      </c>
      <c r="D37" s="5"/>
      <c r="E37" s="2"/>
      <c r="F37" s="2"/>
      <c r="G37" s="2"/>
      <c r="H37" s="2"/>
      <c r="I37" s="2"/>
      <c r="J37" s="2"/>
      <c r="K37" s="3"/>
      <c r="L37" s="4" t="str">
        <f t="shared" ref="L37:L68" si="9">IF(OR(B37="",K37=""),"",K37-B37)</f>
        <v/>
      </c>
      <c r="M37" s="6"/>
      <c r="N37" s="2"/>
      <c r="O37" s="7"/>
      <c r="P37" s="8"/>
      <c r="Q37" s="8"/>
      <c r="R37" s="8"/>
      <c r="S37" s="9" t="str">
        <f t="shared" ref="S37:S68" si="10">IF(OR(O37="",P37=""),"",O37*P37*100+IF(Q37="",0,Q37))</f>
        <v/>
      </c>
      <c r="T37" s="2"/>
      <c r="U37" s="10"/>
      <c r="V37" s="10"/>
      <c r="W37" s="11" t="str">
        <f>IF(A37="","",SUMIFS('Exit Log'!$I$5:$I$304,'Exit Log'!$A$5:$A$304,A37))</f>
        <v/>
      </c>
      <c r="X37" s="11" t="str">
        <f t="shared" ref="X37:X68" si="11">IF(A37="","",O37-W37)</f>
        <v/>
      </c>
      <c r="Y37" s="9" t="e">
        <f>IF(W37=0,"",SUMIFS('Exit Log'!$N$5:$N$304,'Exit Log'!$A$5:$A$304,A37)/(W37*100))</f>
        <v>#VALUE!</v>
      </c>
      <c r="Z37" s="9" t="str">
        <f>IF(A37="","",SUMIFS('Exit Log'!$N$5:$N$304,'Exit Log'!$A$5:$A$304,A37))</f>
        <v/>
      </c>
      <c r="AA37" s="9" t="str">
        <f>IF(A37="","",SUMIFS('Exit Log'!$K$5:$K$304,'Exit Log'!$A$5:$A$304,A37))</f>
        <v/>
      </c>
      <c r="AB37" s="9" t="str">
        <f>IF(A37="","",SUMIFS('Exit Log'!$P$5:$P$304,'Exit Log'!$A$5:$A$304,A37))</f>
        <v/>
      </c>
      <c r="AC37" s="12" t="e">
        <f t="shared" ref="AC37:AC68" si="12">IF(W37=0,"",AB37/(W37*P37*100+IFERROR(Q37*W37/O37,0)))</f>
        <v>#VALUE!</v>
      </c>
      <c r="AD37" s="4" t="str">
        <f t="shared" ref="AD37:AD68" si="13">IF(A37="","",IF(W37=0,"Open",IF(X37=0,"Closed","Partially Trimmed")))</f>
        <v/>
      </c>
      <c r="AE37" s="13">
        <f>IF(W37=0,"",LOOKUP(2,1/('Exit Log'!$A$5:$A$304=A37),'Exit Log'!$C$5:$C$304))</f>
        <v>0</v>
      </c>
      <c r="AF37" s="14">
        <f>IF(W37=0,"",LOOKUP(2,1/('Exit Log'!$A$5:$A$304=A37),'Exit Log'!$E$5:$E$304))</f>
        <v>0</v>
      </c>
      <c r="AG37" s="2"/>
      <c r="AH37" s="2"/>
      <c r="AI37" s="10"/>
      <c r="AJ37" s="2"/>
    </row>
    <row r="38" spans="1:36">
      <c r="A38" s="2"/>
      <c r="B38" s="3"/>
      <c r="C38" s="4" t="str">
        <f t="shared" si="8"/>
        <v/>
      </c>
      <c r="D38" s="5"/>
      <c r="E38" s="2"/>
      <c r="F38" s="2"/>
      <c r="G38" s="2"/>
      <c r="H38" s="2"/>
      <c r="I38" s="2"/>
      <c r="J38" s="2"/>
      <c r="K38" s="3"/>
      <c r="L38" s="4" t="str">
        <f t="shared" si="9"/>
        <v/>
      </c>
      <c r="M38" s="6"/>
      <c r="N38" s="2"/>
      <c r="O38" s="7"/>
      <c r="P38" s="8"/>
      <c r="Q38" s="8"/>
      <c r="R38" s="8"/>
      <c r="S38" s="9" t="str">
        <f t="shared" si="10"/>
        <v/>
      </c>
      <c r="T38" s="2"/>
      <c r="U38" s="10"/>
      <c r="V38" s="10"/>
      <c r="W38" s="11" t="str">
        <f>IF(A38="","",SUMIFS('Exit Log'!$I$5:$I$304,'Exit Log'!$A$5:$A$304,A38))</f>
        <v/>
      </c>
      <c r="X38" s="11" t="str">
        <f t="shared" si="11"/>
        <v/>
      </c>
      <c r="Y38" s="9" t="e">
        <f>IF(W38=0,"",SUMIFS('Exit Log'!$N$5:$N$304,'Exit Log'!$A$5:$A$304,A38)/(W38*100))</f>
        <v>#VALUE!</v>
      </c>
      <c r="Z38" s="9" t="str">
        <f>IF(A38="","",SUMIFS('Exit Log'!$N$5:$N$304,'Exit Log'!$A$5:$A$304,A38))</f>
        <v/>
      </c>
      <c r="AA38" s="9" t="str">
        <f>IF(A38="","",SUMIFS('Exit Log'!$K$5:$K$304,'Exit Log'!$A$5:$A$304,A38))</f>
        <v/>
      </c>
      <c r="AB38" s="9" t="str">
        <f>IF(A38="","",SUMIFS('Exit Log'!$P$5:$P$304,'Exit Log'!$A$5:$A$304,A38))</f>
        <v/>
      </c>
      <c r="AC38" s="12" t="e">
        <f t="shared" si="12"/>
        <v>#VALUE!</v>
      </c>
      <c r="AD38" s="4" t="str">
        <f t="shared" si="13"/>
        <v/>
      </c>
      <c r="AE38" s="13">
        <f>IF(W38=0,"",LOOKUP(2,1/('Exit Log'!$A$5:$A$304=A38),'Exit Log'!$C$5:$C$304))</f>
        <v>0</v>
      </c>
      <c r="AF38" s="14">
        <f>IF(W38=0,"",LOOKUP(2,1/('Exit Log'!$A$5:$A$304=A38),'Exit Log'!$E$5:$E$304))</f>
        <v>0</v>
      </c>
      <c r="AG38" s="2"/>
      <c r="AH38" s="2"/>
      <c r="AI38" s="10"/>
      <c r="AJ38" s="2"/>
    </row>
    <row r="39" spans="1:36">
      <c r="A39" s="2"/>
      <c r="B39" s="3"/>
      <c r="C39" s="4" t="str">
        <f t="shared" si="8"/>
        <v/>
      </c>
      <c r="D39" s="5"/>
      <c r="E39" s="2"/>
      <c r="F39" s="2"/>
      <c r="G39" s="2"/>
      <c r="H39" s="2"/>
      <c r="I39" s="2"/>
      <c r="J39" s="2"/>
      <c r="K39" s="3"/>
      <c r="L39" s="4" t="str">
        <f t="shared" si="9"/>
        <v/>
      </c>
      <c r="M39" s="6"/>
      <c r="N39" s="2"/>
      <c r="O39" s="7"/>
      <c r="P39" s="8"/>
      <c r="Q39" s="8"/>
      <c r="R39" s="8"/>
      <c r="S39" s="9" t="str">
        <f t="shared" si="10"/>
        <v/>
      </c>
      <c r="T39" s="2"/>
      <c r="U39" s="10"/>
      <c r="V39" s="10"/>
      <c r="W39" s="11" t="str">
        <f>IF(A39="","",SUMIFS('Exit Log'!$I$5:$I$304,'Exit Log'!$A$5:$A$304,A39))</f>
        <v/>
      </c>
      <c r="X39" s="11" t="str">
        <f t="shared" si="11"/>
        <v/>
      </c>
      <c r="Y39" s="9" t="e">
        <f>IF(W39=0,"",SUMIFS('Exit Log'!$N$5:$N$304,'Exit Log'!$A$5:$A$304,A39)/(W39*100))</f>
        <v>#VALUE!</v>
      </c>
      <c r="Z39" s="9" t="str">
        <f>IF(A39="","",SUMIFS('Exit Log'!$N$5:$N$304,'Exit Log'!$A$5:$A$304,A39))</f>
        <v/>
      </c>
      <c r="AA39" s="9" t="str">
        <f>IF(A39="","",SUMIFS('Exit Log'!$K$5:$K$304,'Exit Log'!$A$5:$A$304,A39))</f>
        <v/>
      </c>
      <c r="AB39" s="9" t="str">
        <f>IF(A39="","",SUMIFS('Exit Log'!$P$5:$P$304,'Exit Log'!$A$5:$A$304,A39))</f>
        <v/>
      </c>
      <c r="AC39" s="12" t="e">
        <f t="shared" si="12"/>
        <v>#VALUE!</v>
      </c>
      <c r="AD39" s="4" t="str">
        <f t="shared" si="13"/>
        <v/>
      </c>
      <c r="AE39" s="13">
        <f>IF(W39=0,"",LOOKUP(2,1/('Exit Log'!$A$5:$A$304=A39),'Exit Log'!$C$5:$C$304))</f>
        <v>0</v>
      </c>
      <c r="AF39" s="14">
        <f>IF(W39=0,"",LOOKUP(2,1/('Exit Log'!$A$5:$A$304=A39),'Exit Log'!$E$5:$E$304))</f>
        <v>0</v>
      </c>
      <c r="AG39" s="2"/>
      <c r="AH39" s="2"/>
      <c r="AI39" s="10"/>
      <c r="AJ39" s="2"/>
    </row>
    <row r="40" spans="1:36">
      <c r="A40" s="2"/>
      <c r="B40" s="3"/>
      <c r="C40" s="4" t="str">
        <f t="shared" si="8"/>
        <v/>
      </c>
      <c r="D40" s="5"/>
      <c r="E40" s="2"/>
      <c r="F40" s="2"/>
      <c r="G40" s="2"/>
      <c r="H40" s="2"/>
      <c r="I40" s="2"/>
      <c r="J40" s="2"/>
      <c r="K40" s="3"/>
      <c r="L40" s="4" t="str">
        <f t="shared" si="9"/>
        <v/>
      </c>
      <c r="M40" s="6"/>
      <c r="N40" s="2"/>
      <c r="O40" s="7"/>
      <c r="P40" s="8"/>
      <c r="Q40" s="8"/>
      <c r="R40" s="8"/>
      <c r="S40" s="9" t="str">
        <f t="shared" si="10"/>
        <v/>
      </c>
      <c r="T40" s="2"/>
      <c r="U40" s="10"/>
      <c r="V40" s="10"/>
      <c r="W40" s="11" t="str">
        <f>IF(A40="","",SUMIFS('Exit Log'!$I$5:$I$304,'Exit Log'!$A$5:$A$304,A40))</f>
        <v/>
      </c>
      <c r="X40" s="11" t="str">
        <f t="shared" si="11"/>
        <v/>
      </c>
      <c r="Y40" s="9" t="e">
        <f>IF(W40=0,"",SUMIFS('Exit Log'!$N$5:$N$304,'Exit Log'!$A$5:$A$304,A40)/(W40*100))</f>
        <v>#VALUE!</v>
      </c>
      <c r="Z40" s="9" t="str">
        <f>IF(A40="","",SUMIFS('Exit Log'!$N$5:$N$304,'Exit Log'!$A$5:$A$304,A40))</f>
        <v/>
      </c>
      <c r="AA40" s="9" t="str">
        <f>IF(A40="","",SUMIFS('Exit Log'!$K$5:$K$304,'Exit Log'!$A$5:$A$304,A40))</f>
        <v/>
      </c>
      <c r="AB40" s="9" t="str">
        <f>IF(A40="","",SUMIFS('Exit Log'!$P$5:$P$304,'Exit Log'!$A$5:$A$304,A40))</f>
        <v/>
      </c>
      <c r="AC40" s="12" t="e">
        <f t="shared" si="12"/>
        <v>#VALUE!</v>
      </c>
      <c r="AD40" s="4" t="str">
        <f t="shared" si="13"/>
        <v/>
      </c>
      <c r="AE40" s="13">
        <f>IF(W40=0,"",LOOKUP(2,1/('Exit Log'!$A$5:$A$304=A40),'Exit Log'!$C$5:$C$304))</f>
        <v>0</v>
      </c>
      <c r="AF40" s="14">
        <f>IF(W40=0,"",LOOKUP(2,1/('Exit Log'!$A$5:$A$304=A40),'Exit Log'!$E$5:$E$304))</f>
        <v>0</v>
      </c>
      <c r="AG40" s="2"/>
      <c r="AH40" s="2"/>
      <c r="AI40" s="10"/>
      <c r="AJ40" s="2"/>
    </row>
    <row r="41" spans="1:36">
      <c r="A41" s="2"/>
      <c r="B41" s="3"/>
      <c r="C41" s="4" t="str">
        <f t="shared" si="8"/>
        <v/>
      </c>
      <c r="D41" s="5"/>
      <c r="E41" s="2"/>
      <c r="F41" s="2"/>
      <c r="G41" s="2"/>
      <c r="H41" s="2"/>
      <c r="I41" s="2"/>
      <c r="J41" s="2"/>
      <c r="K41" s="3"/>
      <c r="L41" s="4" t="str">
        <f t="shared" si="9"/>
        <v/>
      </c>
      <c r="M41" s="6"/>
      <c r="N41" s="2"/>
      <c r="O41" s="7"/>
      <c r="P41" s="8"/>
      <c r="Q41" s="8"/>
      <c r="R41" s="8"/>
      <c r="S41" s="9" t="str">
        <f t="shared" si="10"/>
        <v/>
      </c>
      <c r="T41" s="2"/>
      <c r="U41" s="10"/>
      <c r="V41" s="10"/>
      <c r="W41" s="11" t="str">
        <f>IF(A41="","",SUMIFS('Exit Log'!$I$5:$I$304,'Exit Log'!$A$5:$A$304,A41))</f>
        <v/>
      </c>
      <c r="X41" s="11" t="str">
        <f t="shared" si="11"/>
        <v/>
      </c>
      <c r="Y41" s="9" t="e">
        <f>IF(W41=0,"",SUMIFS('Exit Log'!$N$5:$N$304,'Exit Log'!$A$5:$A$304,A41)/(W41*100))</f>
        <v>#VALUE!</v>
      </c>
      <c r="Z41" s="9" t="str">
        <f>IF(A41="","",SUMIFS('Exit Log'!$N$5:$N$304,'Exit Log'!$A$5:$A$304,A41))</f>
        <v/>
      </c>
      <c r="AA41" s="9" t="str">
        <f>IF(A41="","",SUMIFS('Exit Log'!$K$5:$K$304,'Exit Log'!$A$5:$A$304,A41))</f>
        <v/>
      </c>
      <c r="AB41" s="9" t="str">
        <f>IF(A41="","",SUMIFS('Exit Log'!$P$5:$P$304,'Exit Log'!$A$5:$A$304,A41))</f>
        <v/>
      </c>
      <c r="AC41" s="12" t="e">
        <f t="shared" si="12"/>
        <v>#VALUE!</v>
      </c>
      <c r="AD41" s="4" t="str">
        <f t="shared" si="13"/>
        <v/>
      </c>
      <c r="AE41" s="13">
        <f>IF(W41=0,"",LOOKUP(2,1/('Exit Log'!$A$5:$A$304=A41),'Exit Log'!$C$5:$C$304))</f>
        <v>0</v>
      </c>
      <c r="AF41" s="14">
        <f>IF(W41=0,"",LOOKUP(2,1/('Exit Log'!$A$5:$A$304=A41),'Exit Log'!$E$5:$E$304))</f>
        <v>0</v>
      </c>
      <c r="AG41" s="2"/>
      <c r="AH41" s="2"/>
      <c r="AI41" s="10"/>
      <c r="AJ41" s="2"/>
    </row>
    <row r="42" spans="1:36">
      <c r="A42" s="2"/>
      <c r="B42" s="3"/>
      <c r="C42" s="4" t="str">
        <f t="shared" si="8"/>
        <v/>
      </c>
      <c r="D42" s="5"/>
      <c r="E42" s="2"/>
      <c r="F42" s="2"/>
      <c r="G42" s="2"/>
      <c r="H42" s="2"/>
      <c r="I42" s="2"/>
      <c r="J42" s="2"/>
      <c r="K42" s="3"/>
      <c r="L42" s="4" t="str">
        <f t="shared" si="9"/>
        <v/>
      </c>
      <c r="M42" s="6"/>
      <c r="N42" s="2"/>
      <c r="O42" s="7"/>
      <c r="P42" s="8"/>
      <c r="Q42" s="8"/>
      <c r="R42" s="8"/>
      <c r="S42" s="9" t="str">
        <f t="shared" si="10"/>
        <v/>
      </c>
      <c r="T42" s="2"/>
      <c r="U42" s="10"/>
      <c r="V42" s="10"/>
      <c r="W42" s="11" t="str">
        <f>IF(A42="","",SUMIFS('Exit Log'!$I$5:$I$304,'Exit Log'!$A$5:$A$304,A42))</f>
        <v/>
      </c>
      <c r="X42" s="11" t="str">
        <f t="shared" si="11"/>
        <v/>
      </c>
      <c r="Y42" s="9" t="e">
        <f>IF(W42=0,"",SUMIFS('Exit Log'!$N$5:$N$304,'Exit Log'!$A$5:$A$304,A42)/(W42*100))</f>
        <v>#VALUE!</v>
      </c>
      <c r="Z42" s="9" t="str">
        <f>IF(A42="","",SUMIFS('Exit Log'!$N$5:$N$304,'Exit Log'!$A$5:$A$304,A42))</f>
        <v/>
      </c>
      <c r="AA42" s="9" t="str">
        <f>IF(A42="","",SUMIFS('Exit Log'!$K$5:$K$304,'Exit Log'!$A$5:$A$304,A42))</f>
        <v/>
      </c>
      <c r="AB42" s="9" t="str">
        <f>IF(A42="","",SUMIFS('Exit Log'!$P$5:$P$304,'Exit Log'!$A$5:$A$304,A42))</f>
        <v/>
      </c>
      <c r="AC42" s="12" t="e">
        <f t="shared" si="12"/>
        <v>#VALUE!</v>
      </c>
      <c r="AD42" s="4" t="str">
        <f t="shared" si="13"/>
        <v/>
      </c>
      <c r="AE42" s="13">
        <f>IF(W42=0,"",LOOKUP(2,1/('Exit Log'!$A$5:$A$304=A42),'Exit Log'!$C$5:$C$304))</f>
        <v>0</v>
      </c>
      <c r="AF42" s="14">
        <f>IF(W42=0,"",LOOKUP(2,1/('Exit Log'!$A$5:$A$304=A42),'Exit Log'!$E$5:$E$304))</f>
        <v>0</v>
      </c>
      <c r="AG42" s="2"/>
      <c r="AH42" s="2"/>
      <c r="AI42" s="10"/>
      <c r="AJ42" s="2"/>
    </row>
    <row r="43" spans="1:36">
      <c r="A43" s="2"/>
      <c r="B43" s="3"/>
      <c r="C43" s="4" t="str">
        <f t="shared" si="8"/>
        <v/>
      </c>
      <c r="D43" s="5"/>
      <c r="E43" s="2"/>
      <c r="F43" s="2"/>
      <c r="G43" s="2"/>
      <c r="H43" s="2"/>
      <c r="I43" s="2"/>
      <c r="J43" s="2"/>
      <c r="K43" s="3"/>
      <c r="L43" s="4" t="str">
        <f t="shared" si="9"/>
        <v/>
      </c>
      <c r="M43" s="6"/>
      <c r="N43" s="2"/>
      <c r="O43" s="7"/>
      <c r="P43" s="8"/>
      <c r="Q43" s="8"/>
      <c r="R43" s="8"/>
      <c r="S43" s="9" t="str">
        <f t="shared" si="10"/>
        <v/>
      </c>
      <c r="T43" s="2"/>
      <c r="U43" s="10"/>
      <c r="V43" s="10"/>
      <c r="W43" s="11" t="str">
        <f>IF(A43="","",SUMIFS('Exit Log'!$I$5:$I$304,'Exit Log'!$A$5:$A$304,A43))</f>
        <v/>
      </c>
      <c r="X43" s="11" t="str">
        <f t="shared" si="11"/>
        <v/>
      </c>
      <c r="Y43" s="9" t="e">
        <f>IF(W43=0,"",SUMIFS('Exit Log'!$N$5:$N$304,'Exit Log'!$A$5:$A$304,A43)/(W43*100))</f>
        <v>#VALUE!</v>
      </c>
      <c r="Z43" s="9" t="str">
        <f>IF(A43="","",SUMIFS('Exit Log'!$N$5:$N$304,'Exit Log'!$A$5:$A$304,A43))</f>
        <v/>
      </c>
      <c r="AA43" s="9" t="str">
        <f>IF(A43="","",SUMIFS('Exit Log'!$K$5:$K$304,'Exit Log'!$A$5:$A$304,A43))</f>
        <v/>
      </c>
      <c r="AB43" s="9" t="str">
        <f>IF(A43="","",SUMIFS('Exit Log'!$P$5:$P$304,'Exit Log'!$A$5:$A$304,A43))</f>
        <v/>
      </c>
      <c r="AC43" s="12" t="e">
        <f t="shared" si="12"/>
        <v>#VALUE!</v>
      </c>
      <c r="AD43" s="4" t="str">
        <f t="shared" si="13"/>
        <v/>
      </c>
      <c r="AE43" s="13">
        <f>IF(W43=0,"",LOOKUP(2,1/('Exit Log'!$A$5:$A$304=A43),'Exit Log'!$C$5:$C$304))</f>
        <v>0</v>
      </c>
      <c r="AF43" s="14">
        <f>IF(W43=0,"",LOOKUP(2,1/('Exit Log'!$A$5:$A$304=A43),'Exit Log'!$E$5:$E$304))</f>
        <v>0</v>
      </c>
      <c r="AG43" s="2"/>
      <c r="AH43" s="2"/>
      <c r="AI43" s="10"/>
      <c r="AJ43" s="2"/>
    </row>
    <row r="44" spans="1:36">
      <c r="A44" s="2"/>
      <c r="B44" s="3"/>
      <c r="C44" s="4" t="str">
        <f t="shared" si="8"/>
        <v/>
      </c>
      <c r="D44" s="5"/>
      <c r="E44" s="2"/>
      <c r="F44" s="2"/>
      <c r="G44" s="2"/>
      <c r="H44" s="2"/>
      <c r="I44" s="2"/>
      <c r="J44" s="2"/>
      <c r="K44" s="3"/>
      <c r="L44" s="4" t="str">
        <f t="shared" si="9"/>
        <v/>
      </c>
      <c r="M44" s="6"/>
      <c r="N44" s="2"/>
      <c r="O44" s="7"/>
      <c r="P44" s="8"/>
      <c r="Q44" s="8"/>
      <c r="R44" s="8"/>
      <c r="S44" s="9" t="str">
        <f t="shared" si="10"/>
        <v/>
      </c>
      <c r="T44" s="2"/>
      <c r="U44" s="10"/>
      <c r="V44" s="10"/>
      <c r="W44" s="11" t="str">
        <f>IF(A44="","",SUMIFS('Exit Log'!$I$5:$I$304,'Exit Log'!$A$5:$A$304,A44))</f>
        <v/>
      </c>
      <c r="X44" s="11" t="str">
        <f t="shared" si="11"/>
        <v/>
      </c>
      <c r="Y44" s="9" t="e">
        <f>IF(W44=0,"",SUMIFS('Exit Log'!$N$5:$N$304,'Exit Log'!$A$5:$A$304,A44)/(W44*100))</f>
        <v>#VALUE!</v>
      </c>
      <c r="Z44" s="9" t="str">
        <f>IF(A44="","",SUMIFS('Exit Log'!$N$5:$N$304,'Exit Log'!$A$5:$A$304,A44))</f>
        <v/>
      </c>
      <c r="AA44" s="9" t="str">
        <f>IF(A44="","",SUMIFS('Exit Log'!$K$5:$K$304,'Exit Log'!$A$5:$A$304,A44))</f>
        <v/>
      </c>
      <c r="AB44" s="9" t="str">
        <f>IF(A44="","",SUMIFS('Exit Log'!$P$5:$P$304,'Exit Log'!$A$5:$A$304,A44))</f>
        <v/>
      </c>
      <c r="AC44" s="12" t="e">
        <f t="shared" si="12"/>
        <v>#VALUE!</v>
      </c>
      <c r="AD44" s="4" t="str">
        <f t="shared" si="13"/>
        <v/>
      </c>
      <c r="AE44" s="13">
        <f>IF(W44=0,"",LOOKUP(2,1/('Exit Log'!$A$5:$A$304=A44),'Exit Log'!$C$5:$C$304))</f>
        <v>0</v>
      </c>
      <c r="AF44" s="14">
        <f>IF(W44=0,"",LOOKUP(2,1/('Exit Log'!$A$5:$A$304=A44),'Exit Log'!$E$5:$E$304))</f>
        <v>0</v>
      </c>
      <c r="AG44" s="2"/>
      <c r="AH44" s="2"/>
      <c r="AI44" s="10"/>
      <c r="AJ44" s="2"/>
    </row>
    <row r="45" spans="1:36">
      <c r="A45" s="2"/>
      <c r="B45" s="3"/>
      <c r="C45" s="4" t="str">
        <f t="shared" si="8"/>
        <v/>
      </c>
      <c r="D45" s="5"/>
      <c r="E45" s="2"/>
      <c r="F45" s="2"/>
      <c r="G45" s="2"/>
      <c r="H45" s="2"/>
      <c r="I45" s="2"/>
      <c r="J45" s="2"/>
      <c r="K45" s="3"/>
      <c r="L45" s="4" t="str">
        <f t="shared" si="9"/>
        <v/>
      </c>
      <c r="M45" s="6"/>
      <c r="N45" s="2"/>
      <c r="O45" s="7"/>
      <c r="P45" s="8"/>
      <c r="Q45" s="8"/>
      <c r="R45" s="8"/>
      <c r="S45" s="9" t="str">
        <f t="shared" si="10"/>
        <v/>
      </c>
      <c r="T45" s="2"/>
      <c r="U45" s="10"/>
      <c r="V45" s="10"/>
      <c r="W45" s="11" t="str">
        <f>IF(A45="","",SUMIFS('Exit Log'!$I$5:$I$304,'Exit Log'!$A$5:$A$304,A45))</f>
        <v/>
      </c>
      <c r="X45" s="11" t="str">
        <f t="shared" si="11"/>
        <v/>
      </c>
      <c r="Y45" s="9" t="e">
        <f>IF(W45=0,"",SUMIFS('Exit Log'!$N$5:$N$304,'Exit Log'!$A$5:$A$304,A45)/(W45*100))</f>
        <v>#VALUE!</v>
      </c>
      <c r="Z45" s="9" t="str">
        <f>IF(A45="","",SUMIFS('Exit Log'!$N$5:$N$304,'Exit Log'!$A$5:$A$304,A45))</f>
        <v/>
      </c>
      <c r="AA45" s="9" t="str">
        <f>IF(A45="","",SUMIFS('Exit Log'!$K$5:$K$304,'Exit Log'!$A$5:$A$304,A45))</f>
        <v/>
      </c>
      <c r="AB45" s="9" t="str">
        <f>IF(A45="","",SUMIFS('Exit Log'!$P$5:$P$304,'Exit Log'!$A$5:$A$304,A45))</f>
        <v/>
      </c>
      <c r="AC45" s="12" t="e">
        <f t="shared" si="12"/>
        <v>#VALUE!</v>
      </c>
      <c r="AD45" s="4" t="str">
        <f t="shared" si="13"/>
        <v/>
      </c>
      <c r="AE45" s="13">
        <f>IF(W45=0,"",LOOKUP(2,1/('Exit Log'!$A$5:$A$304=A45),'Exit Log'!$C$5:$C$304))</f>
        <v>0</v>
      </c>
      <c r="AF45" s="14">
        <f>IF(W45=0,"",LOOKUP(2,1/('Exit Log'!$A$5:$A$304=A45),'Exit Log'!$E$5:$E$304))</f>
        <v>0</v>
      </c>
      <c r="AG45" s="2"/>
      <c r="AH45" s="2"/>
      <c r="AI45" s="10"/>
      <c r="AJ45" s="2"/>
    </row>
    <row r="46" spans="1:36">
      <c r="A46" s="2"/>
      <c r="B46" s="3"/>
      <c r="C46" s="4" t="str">
        <f t="shared" si="8"/>
        <v/>
      </c>
      <c r="D46" s="5"/>
      <c r="E46" s="2"/>
      <c r="F46" s="2"/>
      <c r="G46" s="2"/>
      <c r="H46" s="2"/>
      <c r="I46" s="2"/>
      <c r="J46" s="2"/>
      <c r="K46" s="3"/>
      <c r="L46" s="4" t="str">
        <f t="shared" si="9"/>
        <v/>
      </c>
      <c r="M46" s="6"/>
      <c r="N46" s="2"/>
      <c r="O46" s="7"/>
      <c r="P46" s="8"/>
      <c r="Q46" s="8"/>
      <c r="R46" s="8"/>
      <c r="S46" s="9" t="str">
        <f t="shared" si="10"/>
        <v/>
      </c>
      <c r="T46" s="2"/>
      <c r="U46" s="10"/>
      <c r="V46" s="10"/>
      <c r="W46" s="11" t="str">
        <f>IF(A46="","",SUMIFS('Exit Log'!$I$5:$I$304,'Exit Log'!$A$5:$A$304,A46))</f>
        <v/>
      </c>
      <c r="X46" s="11" t="str">
        <f t="shared" si="11"/>
        <v/>
      </c>
      <c r="Y46" s="9" t="e">
        <f>IF(W46=0,"",SUMIFS('Exit Log'!$N$5:$N$304,'Exit Log'!$A$5:$A$304,A46)/(W46*100))</f>
        <v>#VALUE!</v>
      </c>
      <c r="Z46" s="9" t="str">
        <f>IF(A46="","",SUMIFS('Exit Log'!$N$5:$N$304,'Exit Log'!$A$5:$A$304,A46))</f>
        <v/>
      </c>
      <c r="AA46" s="9" t="str">
        <f>IF(A46="","",SUMIFS('Exit Log'!$K$5:$K$304,'Exit Log'!$A$5:$A$304,A46))</f>
        <v/>
      </c>
      <c r="AB46" s="9" t="str">
        <f>IF(A46="","",SUMIFS('Exit Log'!$P$5:$P$304,'Exit Log'!$A$5:$A$304,A46))</f>
        <v/>
      </c>
      <c r="AC46" s="12" t="e">
        <f t="shared" si="12"/>
        <v>#VALUE!</v>
      </c>
      <c r="AD46" s="4" t="str">
        <f t="shared" si="13"/>
        <v/>
      </c>
      <c r="AE46" s="13">
        <f>IF(W46=0,"",LOOKUP(2,1/('Exit Log'!$A$5:$A$304=A46),'Exit Log'!$C$5:$C$304))</f>
        <v>0</v>
      </c>
      <c r="AF46" s="14">
        <f>IF(W46=0,"",LOOKUP(2,1/('Exit Log'!$A$5:$A$304=A46),'Exit Log'!$E$5:$E$304))</f>
        <v>0</v>
      </c>
      <c r="AG46" s="2"/>
      <c r="AH46" s="2"/>
      <c r="AI46" s="10"/>
      <c r="AJ46" s="2"/>
    </row>
    <row r="47" spans="1:36">
      <c r="A47" s="2"/>
      <c r="B47" s="3"/>
      <c r="C47" s="4" t="str">
        <f t="shared" si="8"/>
        <v/>
      </c>
      <c r="D47" s="5"/>
      <c r="E47" s="2"/>
      <c r="F47" s="2"/>
      <c r="G47" s="2"/>
      <c r="H47" s="2"/>
      <c r="I47" s="2"/>
      <c r="J47" s="2"/>
      <c r="K47" s="3"/>
      <c r="L47" s="4" t="str">
        <f t="shared" si="9"/>
        <v/>
      </c>
      <c r="M47" s="6"/>
      <c r="N47" s="2"/>
      <c r="O47" s="7"/>
      <c r="P47" s="8"/>
      <c r="Q47" s="8"/>
      <c r="R47" s="8"/>
      <c r="S47" s="9" t="str">
        <f t="shared" si="10"/>
        <v/>
      </c>
      <c r="T47" s="2"/>
      <c r="U47" s="10"/>
      <c r="V47" s="10"/>
      <c r="W47" s="11" t="str">
        <f>IF(A47="","",SUMIFS('Exit Log'!$I$5:$I$304,'Exit Log'!$A$5:$A$304,A47))</f>
        <v/>
      </c>
      <c r="X47" s="11" t="str">
        <f t="shared" si="11"/>
        <v/>
      </c>
      <c r="Y47" s="9" t="e">
        <f>IF(W47=0,"",SUMIFS('Exit Log'!$N$5:$N$304,'Exit Log'!$A$5:$A$304,A47)/(W47*100))</f>
        <v>#VALUE!</v>
      </c>
      <c r="Z47" s="9" t="str">
        <f>IF(A47="","",SUMIFS('Exit Log'!$N$5:$N$304,'Exit Log'!$A$5:$A$304,A47))</f>
        <v/>
      </c>
      <c r="AA47" s="9" t="str">
        <f>IF(A47="","",SUMIFS('Exit Log'!$K$5:$K$304,'Exit Log'!$A$5:$A$304,A47))</f>
        <v/>
      </c>
      <c r="AB47" s="9" t="str">
        <f>IF(A47="","",SUMIFS('Exit Log'!$P$5:$P$304,'Exit Log'!$A$5:$A$304,A47))</f>
        <v/>
      </c>
      <c r="AC47" s="12" t="e">
        <f t="shared" si="12"/>
        <v>#VALUE!</v>
      </c>
      <c r="AD47" s="4" t="str">
        <f t="shared" si="13"/>
        <v/>
      </c>
      <c r="AE47" s="13">
        <f>IF(W47=0,"",LOOKUP(2,1/('Exit Log'!$A$5:$A$304=A47),'Exit Log'!$C$5:$C$304))</f>
        <v>0</v>
      </c>
      <c r="AF47" s="14">
        <f>IF(W47=0,"",LOOKUP(2,1/('Exit Log'!$A$5:$A$304=A47),'Exit Log'!$E$5:$E$304))</f>
        <v>0</v>
      </c>
      <c r="AG47" s="2"/>
      <c r="AH47" s="2"/>
      <c r="AI47" s="10"/>
      <c r="AJ47" s="2"/>
    </row>
    <row r="48" spans="1:36">
      <c r="A48" s="2"/>
      <c r="B48" s="3"/>
      <c r="C48" s="4" t="str">
        <f t="shared" si="8"/>
        <v/>
      </c>
      <c r="D48" s="5"/>
      <c r="E48" s="2"/>
      <c r="F48" s="2"/>
      <c r="G48" s="2"/>
      <c r="H48" s="2"/>
      <c r="I48" s="2"/>
      <c r="J48" s="2"/>
      <c r="K48" s="3"/>
      <c r="L48" s="4" t="str">
        <f t="shared" si="9"/>
        <v/>
      </c>
      <c r="M48" s="6"/>
      <c r="N48" s="2"/>
      <c r="O48" s="7"/>
      <c r="P48" s="8"/>
      <c r="Q48" s="8"/>
      <c r="R48" s="8"/>
      <c r="S48" s="9" t="str">
        <f t="shared" si="10"/>
        <v/>
      </c>
      <c r="T48" s="2"/>
      <c r="U48" s="10"/>
      <c r="V48" s="10"/>
      <c r="W48" s="11" t="str">
        <f>IF(A48="","",SUMIFS('Exit Log'!$I$5:$I$304,'Exit Log'!$A$5:$A$304,A48))</f>
        <v/>
      </c>
      <c r="X48" s="11" t="str">
        <f t="shared" si="11"/>
        <v/>
      </c>
      <c r="Y48" s="9" t="e">
        <f>IF(W48=0,"",SUMIFS('Exit Log'!$N$5:$N$304,'Exit Log'!$A$5:$A$304,A48)/(W48*100))</f>
        <v>#VALUE!</v>
      </c>
      <c r="Z48" s="9" t="str">
        <f>IF(A48="","",SUMIFS('Exit Log'!$N$5:$N$304,'Exit Log'!$A$5:$A$304,A48))</f>
        <v/>
      </c>
      <c r="AA48" s="9" t="str">
        <f>IF(A48="","",SUMIFS('Exit Log'!$K$5:$K$304,'Exit Log'!$A$5:$A$304,A48))</f>
        <v/>
      </c>
      <c r="AB48" s="9" t="str">
        <f>IF(A48="","",SUMIFS('Exit Log'!$P$5:$P$304,'Exit Log'!$A$5:$A$304,A48))</f>
        <v/>
      </c>
      <c r="AC48" s="12" t="e">
        <f t="shared" si="12"/>
        <v>#VALUE!</v>
      </c>
      <c r="AD48" s="4" t="str">
        <f t="shared" si="13"/>
        <v/>
      </c>
      <c r="AE48" s="13">
        <f>IF(W48=0,"",LOOKUP(2,1/('Exit Log'!$A$5:$A$304=A48),'Exit Log'!$C$5:$C$304))</f>
        <v>0</v>
      </c>
      <c r="AF48" s="14">
        <f>IF(W48=0,"",LOOKUP(2,1/('Exit Log'!$A$5:$A$304=A48),'Exit Log'!$E$5:$E$304))</f>
        <v>0</v>
      </c>
      <c r="AG48" s="2"/>
      <c r="AH48" s="2"/>
      <c r="AI48" s="10"/>
      <c r="AJ48" s="2"/>
    </row>
    <row r="49" spans="1:36">
      <c r="A49" s="2"/>
      <c r="B49" s="3"/>
      <c r="C49" s="4" t="str">
        <f t="shared" si="8"/>
        <v/>
      </c>
      <c r="D49" s="5"/>
      <c r="E49" s="2"/>
      <c r="F49" s="2"/>
      <c r="G49" s="2"/>
      <c r="H49" s="2"/>
      <c r="I49" s="2"/>
      <c r="J49" s="2"/>
      <c r="K49" s="3"/>
      <c r="L49" s="4" t="str">
        <f t="shared" si="9"/>
        <v/>
      </c>
      <c r="M49" s="6"/>
      <c r="N49" s="2"/>
      <c r="O49" s="7"/>
      <c r="P49" s="8"/>
      <c r="Q49" s="8"/>
      <c r="R49" s="8"/>
      <c r="S49" s="9" t="str">
        <f t="shared" si="10"/>
        <v/>
      </c>
      <c r="T49" s="2"/>
      <c r="U49" s="10"/>
      <c r="V49" s="10"/>
      <c r="W49" s="11" t="str">
        <f>IF(A49="","",SUMIFS('Exit Log'!$I$5:$I$304,'Exit Log'!$A$5:$A$304,A49))</f>
        <v/>
      </c>
      <c r="X49" s="11" t="str">
        <f t="shared" si="11"/>
        <v/>
      </c>
      <c r="Y49" s="9" t="e">
        <f>IF(W49=0,"",SUMIFS('Exit Log'!$N$5:$N$304,'Exit Log'!$A$5:$A$304,A49)/(W49*100))</f>
        <v>#VALUE!</v>
      </c>
      <c r="Z49" s="9" t="str">
        <f>IF(A49="","",SUMIFS('Exit Log'!$N$5:$N$304,'Exit Log'!$A$5:$A$304,A49))</f>
        <v/>
      </c>
      <c r="AA49" s="9" t="str">
        <f>IF(A49="","",SUMIFS('Exit Log'!$K$5:$K$304,'Exit Log'!$A$5:$A$304,A49))</f>
        <v/>
      </c>
      <c r="AB49" s="9" t="str">
        <f>IF(A49="","",SUMIFS('Exit Log'!$P$5:$P$304,'Exit Log'!$A$5:$A$304,A49))</f>
        <v/>
      </c>
      <c r="AC49" s="12" t="e">
        <f t="shared" si="12"/>
        <v>#VALUE!</v>
      </c>
      <c r="AD49" s="4" t="str">
        <f t="shared" si="13"/>
        <v/>
      </c>
      <c r="AE49" s="13">
        <f>IF(W49=0,"",LOOKUP(2,1/('Exit Log'!$A$5:$A$304=A49),'Exit Log'!$C$5:$C$304))</f>
        <v>0</v>
      </c>
      <c r="AF49" s="14">
        <f>IF(W49=0,"",LOOKUP(2,1/('Exit Log'!$A$5:$A$304=A49),'Exit Log'!$E$5:$E$304))</f>
        <v>0</v>
      </c>
      <c r="AG49" s="2"/>
      <c r="AH49" s="2"/>
      <c r="AI49" s="10"/>
      <c r="AJ49" s="2"/>
    </row>
    <row r="50" spans="1:36">
      <c r="A50" s="2"/>
      <c r="B50" s="3"/>
      <c r="C50" s="4" t="str">
        <f t="shared" si="8"/>
        <v/>
      </c>
      <c r="D50" s="5"/>
      <c r="E50" s="2"/>
      <c r="F50" s="2"/>
      <c r="G50" s="2"/>
      <c r="H50" s="2"/>
      <c r="I50" s="2"/>
      <c r="J50" s="2"/>
      <c r="K50" s="3"/>
      <c r="L50" s="4" t="str">
        <f t="shared" si="9"/>
        <v/>
      </c>
      <c r="M50" s="6"/>
      <c r="N50" s="2"/>
      <c r="O50" s="7"/>
      <c r="P50" s="8"/>
      <c r="Q50" s="8"/>
      <c r="R50" s="8"/>
      <c r="S50" s="9" t="str">
        <f t="shared" si="10"/>
        <v/>
      </c>
      <c r="T50" s="2"/>
      <c r="U50" s="10"/>
      <c r="V50" s="10"/>
      <c r="W50" s="11" t="str">
        <f>IF(A50="","",SUMIFS('Exit Log'!$I$5:$I$304,'Exit Log'!$A$5:$A$304,A50))</f>
        <v/>
      </c>
      <c r="X50" s="11" t="str">
        <f t="shared" si="11"/>
        <v/>
      </c>
      <c r="Y50" s="9" t="e">
        <f>IF(W50=0,"",SUMIFS('Exit Log'!$N$5:$N$304,'Exit Log'!$A$5:$A$304,A50)/(W50*100))</f>
        <v>#VALUE!</v>
      </c>
      <c r="Z50" s="9" t="str">
        <f>IF(A50="","",SUMIFS('Exit Log'!$N$5:$N$304,'Exit Log'!$A$5:$A$304,A50))</f>
        <v/>
      </c>
      <c r="AA50" s="9" t="str">
        <f>IF(A50="","",SUMIFS('Exit Log'!$K$5:$K$304,'Exit Log'!$A$5:$A$304,A50))</f>
        <v/>
      </c>
      <c r="AB50" s="9" t="str">
        <f>IF(A50="","",SUMIFS('Exit Log'!$P$5:$P$304,'Exit Log'!$A$5:$A$304,A50))</f>
        <v/>
      </c>
      <c r="AC50" s="12" t="e">
        <f t="shared" si="12"/>
        <v>#VALUE!</v>
      </c>
      <c r="AD50" s="4" t="str">
        <f t="shared" si="13"/>
        <v/>
      </c>
      <c r="AE50" s="13">
        <f>IF(W50=0,"",LOOKUP(2,1/('Exit Log'!$A$5:$A$304=A50),'Exit Log'!$C$5:$C$304))</f>
        <v>0</v>
      </c>
      <c r="AF50" s="14">
        <f>IF(W50=0,"",LOOKUP(2,1/('Exit Log'!$A$5:$A$304=A50),'Exit Log'!$E$5:$E$304))</f>
        <v>0</v>
      </c>
      <c r="AG50" s="2"/>
      <c r="AH50" s="2"/>
      <c r="AI50" s="10"/>
      <c r="AJ50" s="2"/>
    </row>
    <row r="51" spans="1:36">
      <c r="A51" s="2"/>
      <c r="B51" s="3"/>
      <c r="C51" s="4" t="str">
        <f t="shared" si="8"/>
        <v/>
      </c>
      <c r="D51" s="5"/>
      <c r="E51" s="2"/>
      <c r="F51" s="2"/>
      <c r="G51" s="2"/>
      <c r="H51" s="2"/>
      <c r="I51" s="2"/>
      <c r="J51" s="2"/>
      <c r="K51" s="3"/>
      <c r="L51" s="4" t="str">
        <f t="shared" si="9"/>
        <v/>
      </c>
      <c r="M51" s="6"/>
      <c r="N51" s="2"/>
      <c r="O51" s="7"/>
      <c r="P51" s="8"/>
      <c r="Q51" s="8"/>
      <c r="R51" s="8"/>
      <c r="S51" s="9" t="str">
        <f t="shared" si="10"/>
        <v/>
      </c>
      <c r="T51" s="2"/>
      <c r="U51" s="10"/>
      <c r="V51" s="10"/>
      <c r="W51" s="11" t="str">
        <f>IF(A51="","",SUMIFS('Exit Log'!$I$5:$I$304,'Exit Log'!$A$5:$A$304,A51))</f>
        <v/>
      </c>
      <c r="X51" s="11" t="str">
        <f t="shared" si="11"/>
        <v/>
      </c>
      <c r="Y51" s="9" t="e">
        <f>IF(W51=0,"",SUMIFS('Exit Log'!$N$5:$N$304,'Exit Log'!$A$5:$A$304,A51)/(W51*100))</f>
        <v>#VALUE!</v>
      </c>
      <c r="Z51" s="9" t="str">
        <f>IF(A51="","",SUMIFS('Exit Log'!$N$5:$N$304,'Exit Log'!$A$5:$A$304,A51))</f>
        <v/>
      </c>
      <c r="AA51" s="9" t="str">
        <f>IF(A51="","",SUMIFS('Exit Log'!$K$5:$K$304,'Exit Log'!$A$5:$A$304,A51))</f>
        <v/>
      </c>
      <c r="AB51" s="9" t="str">
        <f>IF(A51="","",SUMIFS('Exit Log'!$P$5:$P$304,'Exit Log'!$A$5:$A$304,A51))</f>
        <v/>
      </c>
      <c r="AC51" s="12" t="e">
        <f t="shared" si="12"/>
        <v>#VALUE!</v>
      </c>
      <c r="AD51" s="4" t="str">
        <f t="shared" si="13"/>
        <v/>
      </c>
      <c r="AE51" s="13">
        <f>IF(W51=0,"",LOOKUP(2,1/('Exit Log'!$A$5:$A$304=A51),'Exit Log'!$C$5:$C$304))</f>
        <v>0</v>
      </c>
      <c r="AF51" s="14">
        <f>IF(W51=0,"",LOOKUP(2,1/('Exit Log'!$A$5:$A$304=A51),'Exit Log'!$E$5:$E$304))</f>
        <v>0</v>
      </c>
      <c r="AG51" s="2"/>
      <c r="AH51" s="2"/>
      <c r="AI51" s="10"/>
      <c r="AJ51" s="2"/>
    </row>
    <row r="52" spans="1:36">
      <c r="A52" s="2"/>
      <c r="B52" s="3"/>
      <c r="C52" s="4" t="str">
        <f t="shared" si="8"/>
        <v/>
      </c>
      <c r="D52" s="5"/>
      <c r="E52" s="2"/>
      <c r="F52" s="2"/>
      <c r="G52" s="2"/>
      <c r="H52" s="2"/>
      <c r="I52" s="2"/>
      <c r="J52" s="2"/>
      <c r="K52" s="3"/>
      <c r="L52" s="4" t="str">
        <f t="shared" si="9"/>
        <v/>
      </c>
      <c r="M52" s="6"/>
      <c r="N52" s="2"/>
      <c r="O52" s="7"/>
      <c r="P52" s="8"/>
      <c r="Q52" s="8"/>
      <c r="R52" s="8"/>
      <c r="S52" s="9" t="str">
        <f t="shared" si="10"/>
        <v/>
      </c>
      <c r="T52" s="2"/>
      <c r="U52" s="10"/>
      <c r="V52" s="10"/>
      <c r="W52" s="11" t="str">
        <f>IF(A52="","",SUMIFS('Exit Log'!$I$5:$I$304,'Exit Log'!$A$5:$A$304,A52))</f>
        <v/>
      </c>
      <c r="X52" s="11" t="str">
        <f t="shared" si="11"/>
        <v/>
      </c>
      <c r="Y52" s="9" t="e">
        <f>IF(W52=0,"",SUMIFS('Exit Log'!$N$5:$N$304,'Exit Log'!$A$5:$A$304,A52)/(W52*100))</f>
        <v>#VALUE!</v>
      </c>
      <c r="Z52" s="9" t="str">
        <f>IF(A52="","",SUMIFS('Exit Log'!$N$5:$N$304,'Exit Log'!$A$5:$A$304,A52))</f>
        <v/>
      </c>
      <c r="AA52" s="9" t="str">
        <f>IF(A52="","",SUMIFS('Exit Log'!$K$5:$K$304,'Exit Log'!$A$5:$A$304,A52))</f>
        <v/>
      </c>
      <c r="AB52" s="9" t="str">
        <f>IF(A52="","",SUMIFS('Exit Log'!$P$5:$P$304,'Exit Log'!$A$5:$A$304,A52))</f>
        <v/>
      </c>
      <c r="AC52" s="12" t="e">
        <f t="shared" si="12"/>
        <v>#VALUE!</v>
      </c>
      <c r="AD52" s="4" t="str">
        <f t="shared" si="13"/>
        <v/>
      </c>
      <c r="AE52" s="13">
        <f>IF(W52=0,"",LOOKUP(2,1/('Exit Log'!$A$5:$A$304=A52),'Exit Log'!$C$5:$C$304))</f>
        <v>0</v>
      </c>
      <c r="AF52" s="14">
        <f>IF(W52=0,"",LOOKUP(2,1/('Exit Log'!$A$5:$A$304=A52),'Exit Log'!$E$5:$E$304))</f>
        <v>0</v>
      </c>
      <c r="AG52" s="2"/>
      <c r="AH52" s="2"/>
      <c r="AI52" s="10"/>
      <c r="AJ52" s="2"/>
    </row>
    <row r="53" spans="1:36">
      <c r="A53" s="2"/>
      <c r="B53" s="3"/>
      <c r="C53" s="4" t="str">
        <f t="shared" si="8"/>
        <v/>
      </c>
      <c r="D53" s="5"/>
      <c r="E53" s="2"/>
      <c r="F53" s="2"/>
      <c r="G53" s="2"/>
      <c r="H53" s="2"/>
      <c r="I53" s="2"/>
      <c r="J53" s="2"/>
      <c r="K53" s="3"/>
      <c r="L53" s="4" t="str">
        <f t="shared" si="9"/>
        <v/>
      </c>
      <c r="M53" s="6"/>
      <c r="N53" s="2"/>
      <c r="O53" s="7"/>
      <c r="P53" s="8"/>
      <c r="Q53" s="8"/>
      <c r="R53" s="8"/>
      <c r="S53" s="9" t="str">
        <f t="shared" si="10"/>
        <v/>
      </c>
      <c r="T53" s="2"/>
      <c r="U53" s="10"/>
      <c r="V53" s="10"/>
      <c r="W53" s="11" t="str">
        <f>IF(A53="","",SUMIFS('Exit Log'!$I$5:$I$304,'Exit Log'!$A$5:$A$304,A53))</f>
        <v/>
      </c>
      <c r="X53" s="11" t="str">
        <f t="shared" si="11"/>
        <v/>
      </c>
      <c r="Y53" s="9" t="e">
        <f>IF(W53=0,"",SUMIFS('Exit Log'!$N$5:$N$304,'Exit Log'!$A$5:$A$304,A53)/(W53*100))</f>
        <v>#VALUE!</v>
      </c>
      <c r="Z53" s="9" t="str">
        <f>IF(A53="","",SUMIFS('Exit Log'!$N$5:$N$304,'Exit Log'!$A$5:$A$304,A53))</f>
        <v/>
      </c>
      <c r="AA53" s="9" t="str">
        <f>IF(A53="","",SUMIFS('Exit Log'!$K$5:$K$304,'Exit Log'!$A$5:$A$304,A53))</f>
        <v/>
      </c>
      <c r="AB53" s="9" t="str">
        <f>IF(A53="","",SUMIFS('Exit Log'!$P$5:$P$304,'Exit Log'!$A$5:$A$304,A53))</f>
        <v/>
      </c>
      <c r="AC53" s="12" t="e">
        <f t="shared" si="12"/>
        <v>#VALUE!</v>
      </c>
      <c r="AD53" s="4" t="str">
        <f t="shared" si="13"/>
        <v/>
      </c>
      <c r="AE53" s="13">
        <f>IF(W53=0,"",LOOKUP(2,1/('Exit Log'!$A$5:$A$304=A53),'Exit Log'!$C$5:$C$304))</f>
        <v>0</v>
      </c>
      <c r="AF53" s="14">
        <f>IF(W53=0,"",LOOKUP(2,1/('Exit Log'!$A$5:$A$304=A53),'Exit Log'!$E$5:$E$304))</f>
        <v>0</v>
      </c>
      <c r="AG53" s="2"/>
      <c r="AH53" s="2"/>
      <c r="AI53" s="10"/>
      <c r="AJ53" s="2"/>
    </row>
    <row r="54" spans="1:36">
      <c r="A54" s="2"/>
      <c r="B54" s="3"/>
      <c r="C54" s="4" t="str">
        <f t="shared" si="8"/>
        <v/>
      </c>
      <c r="D54" s="5"/>
      <c r="E54" s="2"/>
      <c r="F54" s="2"/>
      <c r="G54" s="2"/>
      <c r="H54" s="2"/>
      <c r="I54" s="2"/>
      <c r="J54" s="2"/>
      <c r="K54" s="3"/>
      <c r="L54" s="4" t="str">
        <f t="shared" si="9"/>
        <v/>
      </c>
      <c r="M54" s="6"/>
      <c r="N54" s="2"/>
      <c r="O54" s="7"/>
      <c r="P54" s="8"/>
      <c r="Q54" s="8"/>
      <c r="R54" s="8"/>
      <c r="S54" s="9" t="str">
        <f t="shared" si="10"/>
        <v/>
      </c>
      <c r="T54" s="2"/>
      <c r="U54" s="10"/>
      <c r="V54" s="10"/>
      <c r="W54" s="11" t="str">
        <f>IF(A54="","",SUMIFS('Exit Log'!$I$5:$I$304,'Exit Log'!$A$5:$A$304,A54))</f>
        <v/>
      </c>
      <c r="X54" s="11" t="str">
        <f t="shared" si="11"/>
        <v/>
      </c>
      <c r="Y54" s="9" t="e">
        <f>IF(W54=0,"",SUMIFS('Exit Log'!$N$5:$N$304,'Exit Log'!$A$5:$A$304,A54)/(W54*100))</f>
        <v>#VALUE!</v>
      </c>
      <c r="Z54" s="9" t="str">
        <f>IF(A54="","",SUMIFS('Exit Log'!$N$5:$N$304,'Exit Log'!$A$5:$A$304,A54))</f>
        <v/>
      </c>
      <c r="AA54" s="9" t="str">
        <f>IF(A54="","",SUMIFS('Exit Log'!$K$5:$K$304,'Exit Log'!$A$5:$A$304,A54))</f>
        <v/>
      </c>
      <c r="AB54" s="9" t="str">
        <f>IF(A54="","",SUMIFS('Exit Log'!$P$5:$P$304,'Exit Log'!$A$5:$A$304,A54))</f>
        <v/>
      </c>
      <c r="AC54" s="12" t="e">
        <f t="shared" si="12"/>
        <v>#VALUE!</v>
      </c>
      <c r="AD54" s="4" t="str">
        <f t="shared" si="13"/>
        <v/>
      </c>
      <c r="AE54" s="13">
        <f>IF(W54=0,"",LOOKUP(2,1/('Exit Log'!$A$5:$A$304=A54),'Exit Log'!$C$5:$C$304))</f>
        <v>0</v>
      </c>
      <c r="AF54" s="14">
        <f>IF(W54=0,"",LOOKUP(2,1/('Exit Log'!$A$5:$A$304=A54),'Exit Log'!$E$5:$E$304))</f>
        <v>0</v>
      </c>
      <c r="AG54" s="2"/>
      <c r="AH54" s="2"/>
      <c r="AI54" s="10"/>
      <c r="AJ54" s="2"/>
    </row>
    <row r="55" spans="1:36">
      <c r="A55" s="2"/>
      <c r="B55" s="3"/>
      <c r="C55" s="4" t="str">
        <f t="shared" si="8"/>
        <v/>
      </c>
      <c r="D55" s="5"/>
      <c r="E55" s="2"/>
      <c r="F55" s="2"/>
      <c r="G55" s="2"/>
      <c r="H55" s="2"/>
      <c r="I55" s="2"/>
      <c r="J55" s="2"/>
      <c r="K55" s="3"/>
      <c r="L55" s="4" t="str">
        <f t="shared" si="9"/>
        <v/>
      </c>
      <c r="M55" s="6"/>
      <c r="N55" s="2"/>
      <c r="O55" s="7"/>
      <c r="P55" s="8"/>
      <c r="Q55" s="8"/>
      <c r="R55" s="8"/>
      <c r="S55" s="9" t="str">
        <f t="shared" si="10"/>
        <v/>
      </c>
      <c r="T55" s="2"/>
      <c r="U55" s="10"/>
      <c r="V55" s="10"/>
      <c r="W55" s="11" t="str">
        <f>IF(A55="","",SUMIFS('Exit Log'!$I$5:$I$304,'Exit Log'!$A$5:$A$304,A55))</f>
        <v/>
      </c>
      <c r="X55" s="11" t="str">
        <f t="shared" si="11"/>
        <v/>
      </c>
      <c r="Y55" s="9" t="e">
        <f>IF(W55=0,"",SUMIFS('Exit Log'!$N$5:$N$304,'Exit Log'!$A$5:$A$304,A55)/(W55*100))</f>
        <v>#VALUE!</v>
      </c>
      <c r="Z55" s="9" t="str">
        <f>IF(A55="","",SUMIFS('Exit Log'!$N$5:$N$304,'Exit Log'!$A$5:$A$304,A55))</f>
        <v/>
      </c>
      <c r="AA55" s="9" t="str">
        <f>IF(A55="","",SUMIFS('Exit Log'!$K$5:$K$304,'Exit Log'!$A$5:$A$304,A55))</f>
        <v/>
      </c>
      <c r="AB55" s="9" t="str">
        <f>IF(A55="","",SUMIFS('Exit Log'!$P$5:$P$304,'Exit Log'!$A$5:$A$304,A55))</f>
        <v/>
      </c>
      <c r="AC55" s="12" t="e">
        <f t="shared" si="12"/>
        <v>#VALUE!</v>
      </c>
      <c r="AD55" s="4" t="str">
        <f t="shared" si="13"/>
        <v/>
      </c>
      <c r="AE55" s="13">
        <f>IF(W55=0,"",LOOKUP(2,1/('Exit Log'!$A$5:$A$304=A55),'Exit Log'!$C$5:$C$304))</f>
        <v>0</v>
      </c>
      <c r="AF55" s="14">
        <f>IF(W55=0,"",LOOKUP(2,1/('Exit Log'!$A$5:$A$304=A55),'Exit Log'!$E$5:$E$304))</f>
        <v>0</v>
      </c>
      <c r="AG55" s="2"/>
      <c r="AH55" s="2"/>
      <c r="AI55" s="10"/>
      <c r="AJ55" s="2"/>
    </row>
    <row r="56" spans="1:36">
      <c r="A56" s="2"/>
      <c r="B56" s="3"/>
      <c r="C56" s="4" t="str">
        <f t="shared" si="8"/>
        <v/>
      </c>
      <c r="D56" s="5"/>
      <c r="E56" s="2"/>
      <c r="F56" s="2"/>
      <c r="G56" s="2"/>
      <c r="H56" s="2"/>
      <c r="I56" s="2"/>
      <c r="J56" s="2"/>
      <c r="K56" s="3"/>
      <c r="L56" s="4" t="str">
        <f t="shared" si="9"/>
        <v/>
      </c>
      <c r="M56" s="6"/>
      <c r="N56" s="2"/>
      <c r="O56" s="7"/>
      <c r="P56" s="8"/>
      <c r="Q56" s="8"/>
      <c r="R56" s="8"/>
      <c r="S56" s="9" t="str">
        <f t="shared" si="10"/>
        <v/>
      </c>
      <c r="T56" s="2"/>
      <c r="U56" s="10"/>
      <c r="V56" s="10"/>
      <c r="W56" s="11" t="str">
        <f>IF(A56="","",SUMIFS('Exit Log'!$I$5:$I$304,'Exit Log'!$A$5:$A$304,A56))</f>
        <v/>
      </c>
      <c r="X56" s="11" t="str">
        <f t="shared" si="11"/>
        <v/>
      </c>
      <c r="Y56" s="9" t="e">
        <f>IF(W56=0,"",SUMIFS('Exit Log'!$N$5:$N$304,'Exit Log'!$A$5:$A$304,A56)/(W56*100))</f>
        <v>#VALUE!</v>
      </c>
      <c r="Z56" s="9" t="str">
        <f>IF(A56="","",SUMIFS('Exit Log'!$N$5:$N$304,'Exit Log'!$A$5:$A$304,A56))</f>
        <v/>
      </c>
      <c r="AA56" s="9" t="str">
        <f>IF(A56="","",SUMIFS('Exit Log'!$K$5:$K$304,'Exit Log'!$A$5:$A$304,A56))</f>
        <v/>
      </c>
      <c r="AB56" s="9" t="str">
        <f>IF(A56="","",SUMIFS('Exit Log'!$P$5:$P$304,'Exit Log'!$A$5:$A$304,A56))</f>
        <v/>
      </c>
      <c r="AC56" s="12" t="e">
        <f t="shared" si="12"/>
        <v>#VALUE!</v>
      </c>
      <c r="AD56" s="4" t="str">
        <f t="shared" si="13"/>
        <v/>
      </c>
      <c r="AE56" s="13">
        <f>IF(W56=0,"",LOOKUP(2,1/('Exit Log'!$A$5:$A$304=A56),'Exit Log'!$C$5:$C$304))</f>
        <v>0</v>
      </c>
      <c r="AF56" s="14">
        <f>IF(W56=0,"",LOOKUP(2,1/('Exit Log'!$A$5:$A$304=A56),'Exit Log'!$E$5:$E$304))</f>
        <v>0</v>
      </c>
      <c r="AG56" s="2"/>
      <c r="AH56" s="2"/>
      <c r="AI56" s="10"/>
      <c r="AJ56" s="2"/>
    </row>
    <row r="57" spans="1:36">
      <c r="A57" s="2"/>
      <c r="B57" s="3"/>
      <c r="C57" s="4" t="str">
        <f t="shared" si="8"/>
        <v/>
      </c>
      <c r="D57" s="5"/>
      <c r="E57" s="2"/>
      <c r="F57" s="2"/>
      <c r="G57" s="2"/>
      <c r="H57" s="2"/>
      <c r="I57" s="2"/>
      <c r="J57" s="2"/>
      <c r="K57" s="3"/>
      <c r="L57" s="4" t="str">
        <f t="shared" si="9"/>
        <v/>
      </c>
      <c r="M57" s="6"/>
      <c r="N57" s="2"/>
      <c r="O57" s="7"/>
      <c r="P57" s="8"/>
      <c r="Q57" s="8"/>
      <c r="R57" s="8"/>
      <c r="S57" s="9" t="str">
        <f t="shared" si="10"/>
        <v/>
      </c>
      <c r="T57" s="2"/>
      <c r="U57" s="10"/>
      <c r="V57" s="10"/>
      <c r="W57" s="11" t="str">
        <f>IF(A57="","",SUMIFS('Exit Log'!$I$5:$I$304,'Exit Log'!$A$5:$A$304,A57))</f>
        <v/>
      </c>
      <c r="X57" s="11" t="str">
        <f t="shared" si="11"/>
        <v/>
      </c>
      <c r="Y57" s="9" t="e">
        <f>IF(W57=0,"",SUMIFS('Exit Log'!$N$5:$N$304,'Exit Log'!$A$5:$A$304,A57)/(W57*100))</f>
        <v>#VALUE!</v>
      </c>
      <c r="Z57" s="9" t="str">
        <f>IF(A57="","",SUMIFS('Exit Log'!$N$5:$N$304,'Exit Log'!$A$5:$A$304,A57))</f>
        <v/>
      </c>
      <c r="AA57" s="9" t="str">
        <f>IF(A57="","",SUMIFS('Exit Log'!$K$5:$K$304,'Exit Log'!$A$5:$A$304,A57))</f>
        <v/>
      </c>
      <c r="AB57" s="9" t="str">
        <f>IF(A57="","",SUMIFS('Exit Log'!$P$5:$P$304,'Exit Log'!$A$5:$A$304,A57))</f>
        <v/>
      </c>
      <c r="AC57" s="12" t="e">
        <f t="shared" si="12"/>
        <v>#VALUE!</v>
      </c>
      <c r="AD57" s="4" t="str">
        <f t="shared" si="13"/>
        <v/>
      </c>
      <c r="AE57" s="13">
        <f>IF(W57=0,"",LOOKUP(2,1/('Exit Log'!$A$5:$A$304=A57),'Exit Log'!$C$5:$C$304))</f>
        <v>0</v>
      </c>
      <c r="AF57" s="14">
        <f>IF(W57=0,"",LOOKUP(2,1/('Exit Log'!$A$5:$A$304=A57),'Exit Log'!$E$5:$E$304))</f>
        <v>0</v>
      </c>
      <c r="AG57" s="2"/>
      <c r="AH57" s="2"/>
      <c r="AI57" s="10"/>
      <c r="AJ57" s="2"/>
    </row>
    <row r="58" spans="1:36">
      <c r="A58" s="2"/>
      <c r="B58" s="3"/>
      <c r="C58" s="4" t="str">
        <f t="shared" si="8"/>
        <v/>
      </c>
      <c r="D58" s="5"/>
      <c r="E58" s="2"/>
      <c r="F58" s="2"/>
      <c r="G58" s="2"/>
      <c r="H58" s="2"/>
      <c r="I58" s="2"/>
      <c r="J58" s="2"/>
      <c r="K58" s="3"/>
      <c r="L58" s="4" t="str">
        <f t="shared" si="9"/>
        <v/>
      </c>
      <c r="M58" s="6"/>
      <c r="N58" s="2"/>
      <c r="O58" s="7"/>
      <c r="P58" s="8"/>
      <c r="Q58" s="8"/>
      <c r="R58" s="8"/>
      <c r="S58" s="9" t="str">
        <f t="shared" si="10"/>
        <v/>
      </c>
      <c r="T58" s="2"/>
      <c r="U58" s="10"/>
      <c r="V58" s="10"/>
      <c r="W58" s="11" t="str">
        <f>IF(A58="","",SUMIFS('Exit Log'!$I$5:$I$304,'Exit Log'!$A$5:$A$304,A58))</f>
        <v/>
      </c>
      <c r="X58" s="11" t="str">
        <f t="shared" si="11"/>
        <v/>
      </c>
      <c r="Y58" s="9" t="e">
        <f>IF(W58=0,"",SUMIFS('Exit Log'!$N$5:$N$304,'Exit Log'!$A$5:$A$304,A58)/(W58*100))</f>
        <v>#VALUE!</v>
      </c>
      <c r="Z58" s="9" t="str">
        <f>IF(A58="","",SUMIFS('Exit Log'!$N$5:$N$304,'Exit Log'!$A$5:$A$304,A58))</f>
        <v/>
      </c>
      <c r="AA58" s="9" t="str">
        <f>IF(A58="","",SUMIFS('Exit Log'!$K$5:$K$304,'Exit Log'!$A$5:$A$304,A58))</f>
        <v/>
      </c>
      <c r="AB58" s="9" t="str">
        <f>IF(A58="","",SUMIFS('Exit Log'!$P$5:$P$304,'Exit Log'!$A$5:$A$304,A58))</f>
        <v/>
      </c>
      <c r="AC58" s="12" t="e">
        <f t="shared" si="12"/>
        <v>#VALUE!</v>
      </c>
      <c r="AD58" s="4" t="str">
        <f t="shared" si="13"/>
        <v/>
      </c>
      <c r="AE58" s="13">
        <f>IF(W58=0,"",LOOKUP(2,1/('Exit Log'!$A$5:$A$304=A58),'Exit Log'!$C$5:$C$304))</f>
        <v>0</v>
      </c>
      <c r="AF58" s="14">
        <f>IF(W58=0,"",LOOKUP(2,1/('Exit Log'!$A$5:$A$304=A58),'Exit Log'!$E$5:$E$304))</f>
        <v>0</v>
      </c>
      <c r="AG58" s="2"/>
      <c r="AH58" s="2"/>
      <c r="AI58" s="10"/>
      <c r="AJ58" s="2"/>
    </row>
    <row r="59" spans="1:36">
      <c r="A59" s="2"/>
      <c r="B59" s="3"/>
      <c r="C59" s="4" t="str">
        <f t="shared" si="8"/>
        <v/>
      </c>
      <c r="D59" s="5"/>
      <c r="E59" s="2"/>
      <c r="F59" s="2"/>
      <c r="G59" s="2"/>
      <c r="H59" s="2"/>
      <c r="I59" s="2"/>
      <c r="J59" s="2"/>
      <c r="K59" s="3"/>
      <c r="L59" s="4" t="str">
        <f t="shared" si="9"/>
        <v/>
      </c>
      <c r="M59" s="6"/>
      <c r="N59" s="2"/>
      <c r="O59" s="7"/>
      <c r="P59" s="8"/>
      <c r="Q59" s="8"/>
      <c r="R59" s="8"/>
      <c r="S59" s="9" t="str">
        <f t="shared" si="10"/>
        <v/>
      </c>
      <c r="T59" s="2"/>
      <c r="U59" s="10"/>
      <c r="V59" s="10"/>
      <c r="W59" s="11" t="str">
        <f>IF(A59="","",SUMIFS('Exit Log'!$I$5:$I$304,'Exit Log'!$A$5:$A$304,A59))</f>
        <v/>
      </c>
      <c r="X59" s="11" t="str">
        <f t="shared" si="11"/>
        <v/>
      </c>
      <c r="Y59" s="9" t="e">
        <f>IF(W59=0,"",SUMIFS('Exit Log'!$N$5:$N$304,'Exit Log'!$A$5:$A$304,A59)/(W59*100))</f>
        <v>#VALUE!</v>
      </c>
      <c r="Z59" s="9" t="str">
        <f>IF(A59="","",SUMIFS('Exit Log'!$N$5:$N$304,'Exit Log'!$A$5:$A$304,A59))</f>
        <v/>
      </c>
      <c r="AA59" s="9" t="str">
        <f>IF(A59="","",SUMIFS('Exit Log'!$K$5:$K$304,'Exit Log'!$A$5:$A$304,A59))</f>
        <v/>
      </c>
      <c r="AB59" s="9" t="str">
        <f>IF(A59="","",SUMIFS('Exit Log'!$P$5:$P$304,'Exit Log'!$A$5:$A$304,A59))</f>
        <v/>
      </c>
      <c r="AC59" s="12" t="e">
        <f t="shared" si="12"/>
        <v>#VALUE!</v>
      </c>
      <c r="AD59" s="4" t="str">
        <f t="shared" si="13"/>
        <v/>
      </c>
      <c r="AE59" s="13">
        <f>IF(W59=0,"",LOOKUP(2,1/('Exit Log'!$A$5:$A$304=A59),'Exit Log'!$C$5:$C$304))</f>
        <v>0</v>
      </c>
      <c r="AF59" s="14">
        <f>IF(W59=0,"",LOOKUP(2,1/('Exit Log'!$A$5:$A$304=A59),'Exit Log'!$E$5:$E$304))</f>
        <v>0</v>
      </c>
      <c r="AG59" s="2"/>
      <c r="AH59" s="2"/>
      <c r="AI59" s="10"/>
      <c r="AJ59" s="2"/>
    </row>
    <row r="60" spans="1:36">
      <c r="A60" s="2"/>
      <c r="B60" s="3"/>
      <c r="C60" s="4" t="str">
        <f t="shared" si="8"/>
        <v/>
      </c>
      <c r="D60" s="5"/>
      <c r="E60" s="2"/>
      <c r="F60" s="2"/>
      <c r="G60" s="2"/>
      <c r="H60" s="2"/>
      <c r="I60" s="2"/>
      <c r="J60" s="2"/>
      <c r="K60" s="3"/>
      <c r="L60" s="4" t="str">
        <f t="shared" si="9"/>
        <v/>
      </c>
      <c r="M60" s="6"/>
      <c r="N60" s="2"/>
      <c r="O60" s="7"/>
      <c r="P60" s="8"/>
      <c r="Q60" s="8"/>
      <c r="R60" s="8"/>
      <c r="S60" s="9" t="str">
        <f t="shared" si="10"/>
        <v/>
      </c>
      <c r="T60" s="2"/>
      <c r="U60" s="10"/>
      <c r="V60" s="10"/>
      <c r="W60" s="11" t="str">
        <f>IF(A60="","",SUMIFS('Exit Log'!$I$5:$I$304,'Exit Log'!$A$5:$A$304,A60))</f>
        <v/>
      </c>
      <c r="X60" s="11" t="str">
        <f t="shared" si="11"/>
        <v/>
      </c>
      <c r="Y60" s="9" t="e">
        <f>IF(W60=0,"",SUMIFS('Exit Log'!$N$5:$N$304,'Exit Log'!$A$5:$A$304,A60)/(W60*100))</f>
        <v>#VALUE!</v>
      </c>
      <c r="Z60" s="9" t="str">
        <f>IF(A60="","",SUMIFS('Exit Log'!$N$5:$N$304,'Exit Log'!$A$5:$A$304,A60))</f>
        <v/>
      </c>
      <c r="AA60" s="9" t="str">
        <f>IF(A60="","",SUMIFS('Exit Log'!$K$5:$K$304,'Exit Log'!$A$5:$A$304,A60))</f>
        <v/>
      </c>
      <c r="AB60" s="9" t="str">
        <f>IF(A60="","",SUMIFS('Exit Log'!$P$5:$P$304,'Exit Log'!$A$5:$A$304,A60))</f>
        <v/>
      </c>
      <c r="AC60" s="12" t="e">
        <f t="shared" si="12"/>
        <v>#VALUE!</v>
      </c>
      <c r="AD60" s="4" t="str">
        <f t="shared" si="13"/>
        <v/>
      </c>
      <c r="AE60" s="13">
        <f>IF(W60=0,"",LOOKUP(2,1/('Exit Log'!$A$5:$A$304=A60),'Exit Log'!$C$5:$C$304))</f>
        <v>0</v>
      </c>
      <c r="AF60" s="14">
        <f>IF(W60=0,"",LOOKUP(2,1/('Exit Log'!$A$5:$A$304=A60),'Exit Log'!$E$5:$E$304))</f>
        <v>0</v>
      </c>
      <c r="AG60" s="2"/>
      <c r="AH60" s="2"/>
      <c r="AI60" s="10"/>
      <c r="AJ60" s="2"/>
    </row>
    <row r="61" spans="1:36">
      <c r="A61" s="2"/>
      <c r="B61" s="3"/>
      <c r="C61" s="4" t="str">
        <f t="shared" si="8"/>
        <v/>
      </c>
      <c r="D61" s="5"/>
      <c r="E61" s="2"/>
      <c r="F61" s="2"/>
      <c r="G61" s="2"/>
      <c r="H61" s="2"/>
      <c r="I61" s="2"/>
      <c r="J61" s="2"/>
      <c r="K61" s="3"/>
      <c r="L61" s="4" t="str">
        <f t="shared" si="9"/>
        <v/>
      </c>
      <c r="M61" s="6"/>
      <c r="N61" s="2"/>
      <c r="O61" s="7"/>
      <c r="P61" s="8"/>
      <c r="Q61" s="8"/>
      <c r="R61" s="8"/>
      <c r="S61" s="9" t="str">
        <f t="shared" si="10"/>
        <v/>
      </c>
      <c r="T61" s="2"/>
      <c r="U61" s="10"/>
      <c r="V61" s="10"/>
      <c r="W61" s="11" t="str">
        <f>IF(A61="","",SUMIFS('Exit Log'!$I$5:$I$304,'Exit Log'!$A$5:$A$304,A61))</f>
        <v/>
      </c>
      <c r="X61" s="11" t="str">
        <f t="shared" si="11"/>
        <v/>
      </c>
      <c r="Y61" s="9" t="e">
        <f>IF(W61=0,"",SUMIFS('Exit Log'!$N$5:$N$304,'Exit Log'!$A$5:$A$304,A61)/(W61*100))</f>
        <v>#VALUE!</v>
      </c>
      <c r="Z61" s="9" t="str">
        <f>IF(A61="","",SUMIFS('Exit Log'!$N$5:$N$304,'Exit Log'!$A$5:$A$304,A61))</f>
        <v/>
      </c>
      <c r="AA61" s="9" t="str">
        <f>IF(A61="","",SUMIFS('Exit Log'!$K$5:$K$304,'Exit Log'!$A$5:$A$304,A61))</f>
        <v/>
      </c>
      <c r="AB61" s="9" t="str">
        <f>IF(A61="","",SUMIFS('Exit Log'!$P$5:$P$304,'Exit Log'!$A$5:$A$304,A61))</f>
        <v/>
      </c>
      <c r="AC61" s="12" t="e">
        <f t="shared" si="12"/>
        <v>#VALUE!</v>
      </c>
      <c r="AD61" s="4" t="str">
        <f t="shared" si="13"/>
        <v/>
      </c>
      <c r="AE61" s="13">
        <f>IF(W61=0,"",LOOKUP(2,1/('Exit Log'!$A$5:$A$304=A61),'Exit Log'!$C$5:$C$304))</f>
        <v>0</v>
      </c>
      <c r="AF61" s="14">
        <f>IF(W61=0,"",LOOKUP(2,1/('Exit Log'!$A$5:$A$304=A61),'Exit Log'!$E$5:$E$304))</f>
        <v>0</v>
      </c>
      <c r="AG61" s="2"/>
      <c r="AH61" s="2"/>
      <c r="AI61" s="10"/>
      <c r="AJ61" s="2"/>
    </row>
    <row r="62" spans="1:36">
      <c r="A62" s="2"/>
      <c r="B62" s="3"/>
      <c r="C62" s="4" t="str">
        <f t="shared" si="8"/>
        <v/>
      </c>
      <c r="D62" s="5"/>
      <c r="E62" s="2"/>
      <c r="F62" s="2"/>
      <c r="G62" s="2"/>
      <c r="H62" s="2"/>
      <c r="I62" s="2"/>
      <c r="J62" s="2"/>
      <c r="K62" s="3"/>
      <c r="L62" s="4" t="str">
        <f t="shared" si="9"/>
        <v/>
      </c>
      <c r="M62" s="6"/>
      <c r="N62" s="2"/>
      <c r="O62" s="7"/>
      <c r="P62" s="8"/>
      <c r="Q62" s="8"/>
      <c r="R62" s="8"/>
      <c r="S62" s="9" t="str">
        <f t="shared" si="10"/>
        <v/>
      </c>
      <c r="T62" s="2"/>
      <c r="U62" s="10"/>
      <c r="V62" s="10"/>
      <c r="W62" s="11" t="str">
        <f>IF(A62="","",SUMIFS('Exit Log'!$I$5:$I$304,'Exit Log'!$A$5:$A$304,A62))</f>
        <v/>
      </c>
      <c r="X62" s="11" t="str">
        <f t="shared" si="11"/>
        <v/>
      </c>
      <c r="Y62" s="9" t="e">
        <f>IF(W62=0,"",SUMIFS('Exit Log'!$N$5:$N$304,'Exit Log'!$A$5:$A$304,A62)/(W62*100))</f>
        <v>#VALUE!</v>
      </c>
      <c r="Z62" s="9" t="str">
        <f>IF(A62="","",SUMIFS('Exit Log'!$N$5:$N$304,'Exit Log'!$A$5:$A$304,A62))</f>
        <v/>
      </c>
      <c r="AA62" s="9" t="str">
        <f>IF(A62="","",SUMIFS('Exit Log'!$K$5:$K$304,'Exit Log'!$A$5:$A$304,A62))</f>
        <v/>
      </c>
      <c r="AB62" s="9" t="str">
        <f>IF(A62="","",SUMIFS('Exit Log'!$P$5:$P$304,'Exit Log'!$A$5:$A$304,A62))</f>
        <v/>
      </c>
      <c r="AC62" s="12" t="e">
        <f t="shared" si="12"/>
        <v>#VALUE!</v>
      </c>
      <c r="AD62" s="4" t="str">
        <f t="shared" si="13"/>
        <v/>
      </c>
      <c r="AE62" s="13">
        <f>IF(W62=0,"",LOOKUP(2,1/('Exit Log'!$A$5:$A$304=A62),'Exit Log'!$C$5:$C$304))</f>
        <v>0</v>
      </c>
      <c r="AF62" s="14">
        <f>IF(W62=0,"",LOOKUP(2,1/('Exit Log'!$A$5:$A$304=A62),'Exit Log'!$E$5:$E$304))</f>
        <v>0</v>
      </c>
      <c r="AG62" s="2"/>
      <c r="AH62" s="2"/>
      <c r="AI62" s="10"/>
      <c r="AJ62" s="2"/>
    </row>
    <row r="63" spans="1:36">
      <c r="A63" s="2"/>
      <c r="B63" s="3"/>
      <c r="C63" s="4" t="str">
        <f t="shared" si="8"/>
        <v/>
      </c>
      <c r="D63" s="5"/>
      <c r="E63" s="2"/>
      <c r="F63" s="2"/>
      <c r="G63" s="2"/>
      <c r="H63" s="2"/>
      <c r="I63" s="2"/>
      <c r="J63" s="2"/>
      <c r="K63" s="3"/>
      <c r="L63" s="4" t="str">
        <f t="shared" si="9"/>
        <v/>
      </c>
      <c r="M63" s="6"/>
      <c r="N63" s="2"/>
      <c r="O63" s="7"/>
      <c r="P63" s="8"/>
      <c r="Q63" s="8"/>
      <c r="R63" s="8"/>
      <c r="S63" s="9" t="str">
        <f t="shared" si="10"/>
        <v/>
      </c>
      <c r="T63" s="2"/>
      <c r="U63" s="10"/>
      <c r="V63" s="10"/>
      <c r="W63" s="11" t="str">
        <f>IF(A63="","",SUMIFS('Exit Log'!$I$5:$I$304,'Exit Log'!$A$5:$A$304,A63))</f>
        <v/>
      </c>
      <c r="X63" s="11" t="str">
        <f t="shared" si="11"/>
        <v/>
      </c>
      <c r="Y63" s="9" t="e">
        <f>IF(W63=0,"",SUMIFS('Exit Log'!$N$5:$N$304,'Exit Log'!$A$5:$A$304,A63)/(W63*100))</f>
        <v>#VALUE!</v>
      </c>
      <c r="Z63" s="9" t="str">
        <f>IF(A63="","",SUMIFS('Exit Log'!$N$5:$N$304,'Exit Log'!$A$5:$A$304,A63))</f>
        <v/>
      </c>
      <c r="AA63" s="9" t="str">
        <f>IF(A63="","",SUMIFS('Exit Log'!$K$5:$K$304,'Exit Log'!$A$5:$A$304,A63))</f>
        <v/>
      </c>
      <c r="AB63" s="9" t="str">
        <f>IF(A63="","",SUMIFS('Exit Log'!$P$5:$P$304,'Exit Log'!$A$5:$A$304,A63))</f>
        <v/>
      </c>
      <c r="AC63" s="12" t="e">
        <f t="shared" si="12"/>
        <v>#VALUE!</v>
      </c>
      <c r="AD63" s="4" t="str">
        <f t="shared" si="13"/>
        <v/>
      </c>
      <c r="AE63" s="13">
        <f>IF(W63=0,"",LOOKUP(2,1/('Exit Log'!$A$5:$A$304=A63),'Exit Log'!$C$5:$C$304))</f>
        <v>0</v>
      </c>
      <c r="AF63" s="14">
        <f>IF(W63=0,"",LOOKUP(2,1/('Exit Log'!$A$5:$A$304=A63),'Exit Log'!$E$5:$E$304))</f>
        <v>0</v>
      </c>
      <c r="AG63" s="2"/>
      <c r="AH63" s="2"/>
      <c r="AI63" s="10"/>
      <c r="AJ63" s="2"/>
    </row>
    <row r="64" spans="1:36">
      <c r="A64" s="2"/>
      <c r="B64" s="3"/>
      <c r="C64" s="4" t="str">
        <f t="shared" si="8"/>
        <v/>
      </c>
      <c r="D64" s="5"/>
      <c r="E64" s="2"/>
      <c r="F64" s="2"/>
      <c r="G64" s="2"/>
      <c r="H64" s="2"/>
      <c r="I64" s="2"/>
      <c r="J64" s="2"/>
      <c r="K64" s="3"/>
      <c r="L64" s="4" t="str">
        <f t="shared" si="9"/>
        <v/>
      </c>
      <c r="M64" s="6"/>
      <c r="N64" s="2"/>
      <c r="O64" s="7"/>
      <c r="P64" s="8"/>
      <c r="Q64" s="8"/>
      <c r="R64" s="8"/>
      <c r="S64" s="9" t="str">
        <f t="shared" si="10"/>
        <v/>
      </c>
      <c r="T64" s="2"/>
      <c r="U64" s="10"/>
      <c r="V64" s="10"/>
      <c r="W64" s="11" t="str">
        <f>IF(A64="","",SUMIFS('Exit Log'!$I$5:$I$304,'Exit Log'!$A$5:$A$304,A64))</f>
        <v/>
      </c>
      <c r="X64" s="11" t="str">
        <f t="shared" si="11"/>
        <v/>
      </c>
      <c r="Y64" s="9" t="e">
        <f>IF(W64=0,"",SUMIFS('Exit Log'!$N$5:$N$304,'Exit Log'!$A$5:$A$304,A64)/(W64*100))</f>
        <v>#VALUE!</v>
      </c>
      <c r="Z64" s="9" t="str">
        <f>IF(A64="","",SUMIFS('Exit Log'!$N$5:$N$304,'Exit Log'!$A$5:$A$304,A64))</f>
        <v/>
      </c>
      <c r="AA64" s="9" t="str">
        <f>IF(A64="","",SUMIFS('Exit Log'!$K$5:$K$304,'Exit Log'!$A$5:$A$304,A64))</f>
        <v/>
      </c>
      <c r="AB64" s="9" t="str">
        <f>IF(A64="","",SUMIFS('Exit Log'!$P$5:$P$304,'Exit Log'!$A$5:$A$304,A64))</f>
        <v/>
      </c>
      <c r="AC64" s="12" t="e">
        <f t="shared" si="12"/>
        <v>#VALUE!</v>
      </c>
      <c r="AD64" s="4" t="str">
        <f t="shared" si="13"/>
        <v/>
      </c>
      <c r="AE64" s="13">
        <f>IF(W64=0,"",LOOKUP(2,1/('Exit Log'!$A$5:$A$304=A64),'Exit Log'!$C$5:$C$304))</f>
        <v>0</v>
      </c>
      <c r="AF64" s="14">
        <f>IF(W64=0,"",LOOKUP(2,1/('Exit Log'!$A$5:$A$304=A64),'Exit Log'!$E$5:$E$304))</f>
        <v>0</v>
      </c>
      <c r="AG64" s="2"/>
      <c r="AH64" s="2"/>
      <c r="AI64" s="10"/>
      <c r="AJ64" s="2"/>
    </row>
    <row r="65" spans="1:36">
      <c r="A65" s="2"/>
      <c r="B65" s="3"/>
      <c r="C65" s="4" t="str">
        <f t="shared" si="8"/>
        <v/>
      </c>
      <c r="D65" s="5"/>
      <c r="E65" s="2"/>
      <c r="F65" s="2"/>
      <c r="G65" s="2"/>
      <c r="H65" s="2"/>
      <c r="I65" s="2"/>
      <c r="J65" s="2"/>
      <c r="K65" s="3"/>
      <c r="L65" s="4" t="str">
        <f t="shared" si="9"/>
        <v/>
      </c>
      <c r="M65" s="6"/>
      <c r="N65" s="2"/>
      <c r="O65" s="7"/>
      <c r="P65" s="8"/>
      <c r="Q65" s="8"/>
      <c r="R65" s="8"/>
      <c r="S65" s="9" t="str">
        <f t="shared" si="10"/>
        <v/>
      </c>
      <c r="T65" s="2"/>
      <c r="U65" s="10"/>
      <c r="V65" s="10"/>
      <c r="W65" s="11" t="str">
        <f>IF(A65="","",SUMIFS('Exit Log'!$I$5:$I$304,'Exit Log'!$A$5:$A$304,A65))</f>
        <v/>
      </c>
      <c r="X65" s="11" t="str">
        <f t="shared" si="11"/>
        <v/>
      </c>
      <c r="Y65" s="9" t="e">
        <f>IF(W65=0,"",SUMIFS('Exit Log'!$N$5:$N$304,'Exit Log'!$A$5:$A$304,A65)/(W65*100))</f>
        <v>#VALUE!</v>
      </c>
      <c r="Z65" s="9" t="str">
        <f>IF(A65="","",SUMIFS('Exit Log'!$N$5:$N$304,'Exit Log'!$A$5:$A$304,A65))</f>
        <v/>
      </c>
      <c r="AA65" s="9" t="str">
        <f>IF(A65="","",SUMIFS('Exit Log'!$K$5:$K$304,'Exit Log'!$A$5:$A$304,A65))</f>
        <v/>
      </c>
      <c r="AB65" s="9" t="str">
        <f>IF(A65="","",SUMIFS('Exit Log'!$P$5:$P$304,'Exit Log'!$A$5:$A$304,A65))</f>
        <v/>
      </c>
      <c r="AC65" s="12" t="e">
        <f t="shared" si="12"/>
        <v>#VALUE!</v>
      </c>
      <c r="AD65" s="4" t="str">
        <f t="shared" si="13"/>
        <v/>
      </c>
      <c r="AE65" s="13">
        <f>IF(W65=0,"",LOOKUP(2,1/('Exit Log'!$A$5:$A$304=A65),'Exit Log'!$C$5:$C$304))</f>
        <v>0</v>
      </c>
      <c r="AF65" s="14">
        <f>IF(W65=0,"",LOOKUP(2,1/('Exit Log'!$A$5:$A$304=A65),'Exit Log'!$E$5:$E$304))</f>
        <v>0</v>
      </c>
      <c r="AG65" s="2"/>
      <c r="AH65" s="2"/>
      <c r="AI65" s="10"/>
      <c r="AJ65" s="2"/>
    </row>
    <row r="66" spans="1:36">
      <c r="A66" s="2"/>
      <c r="B66" s="3"/>
      <c r="C66" s="4" t="str">
        <f t="shared" si="8"/>
        <v/>
      </c>
      <c r="D66" s="5"/>
      <c r="E66" s="2"/>
      <c r="F66" s="2"/>
      <c r="G66" s="2"/>
      <c r="H66" s="2"/>
      <c r="I66" s="2"/>
      <c r="J66" s="2"/>
      <c r="K66" s="3"/>
      <c r="L66" s="4" t="str">
        <f t="shared" si="9"/>
        <v/>
      </c>
      <c r="M66" s="6"/>
      <c r="N66" s="2"/>
      <c r="O66" s="7"/>
      <c r="P66" s="8"/>
      <c r="Q66" s="8"/>
      <c r="R66" s="8"/>
      <c r="S66" s="9" t="str">
        <f t="shared" si="10"/>
        <v/>
      </c>
      <c r="T66" s="2"/>
      <c r="U66" s="10"/>
      <c r="V66" s="10"/>
      <c r="W66" s="11" t="str">
        <f>IF(A66="","",SUMIFS('Exit Log'!$I$5:$I$304,'Exit Log'!$A$5:$A$304,A66))</f>
        <v/>
      </c>
      <c r="X66" s="11" t="str">
        <f t="shared" si="11"/>
        <v/>
      </c>
      <c r="Y66" s="9" t="e">
        <f>IF(W66=0,"",SUMIFS('Exit Log'!$N$5:$N$304,'Exit Log'!$A$5:$A$304,A66)/(W66*100))</f>
        <v>#VALUE!</v>
      </c>
      <c r="Z66" s="9" t="str">
        <f>IF(A66="","",SUMIFS('Exit Log'!$N$5:$N$304,'Exit Log'!$A$5:$A$304,A66))</f>
        <v/>
      </c>
      <c r="AA66" s="9" t="str">
        <f>IF(A66="","",SUMIFS('Exit Log'!$K$5:$K$304,'Exit Log'!$A$5:$A$304,A66))</f>
        <v/>
      </c>
      <c r="AB66" s="9" t="str">
        <f>IF(A66="","",SUMIFS('Exit Log'!$P$5:$P$304,'Exit Log'!$A$5:$A$304,A66))</f>
        <v/>
      </c>
      <c r="AC66" s="12" t="e">
        <f t="shared" si="12"/>
        <v>#VALUE!</v>
      </c>
      <c r="AD66" s="4" t="str">
        <f t="shared" si="13"/>
        <v/>
      </c>
      <c r="AE66" s="13">
        <f>IF(W66=0,"",LOOKUP(2,1/('Exit Log'!$A$5:$A$304=A66),'Exit Log'!$C$5:$C$304))</f>
        <v>0</v>
      </c>
      <c r="AF66" s="14">
        <f>IF(W66=0,"",LOOKUP(2,1/('Exit Log'!$A$5:$A$304=A66),'Exit Log'!$E$5:$E$304))</f>
        <v>0</v>
      </c>
      <c r="AG66" s="2"/>
      <c r="AH66" s="2"/>
      <c r="AI66" s="10"/>
      <c r="AJ66" s="2"/>
    </row>
    <row r="67" spans="1:36">
      <c r="A67" s="2"/>
      <c r="B67" s="3"/>
      <c r="C67" s="4" t="str">
        <f t="shared" si="8"/>
        <v/>
      </c>
      <c r="D67" s="5"/>
      <c r="E67" s="2"/>
      <c r="F67" s="2"/>
      <c r="G67" s="2"/>
      <c r="H67" s="2"/>
      <c r="I67" s="2"/>
      <c r="J67" s="2"/>
      <c r="K67" s="3"/>
      <c r="L67" s="4" t="str">
        <f t="shared" si="9"/>
        <v/>
      </c>
      <c r="M67" s="6"/>
      <c r="N67" s="2"/>
      <c r="O67" s="7"/>
      <c r="P67" s="8"/>
      <c r="Q67" s="8"/>
      <c r="R67" s="8"/>
      <c r="S67" s="9" t="str">
        <f t="shared" si="10"/>
        <v/>
      </c>
      <c r="T67" s="2"/>
      <c r="U67" s="10"/>
      <c r="V67" s="10"/>
      <c r="W67" s="11" t="str">
        <f>IF(A67="","",SUMIFS('Exit Log'!$I$5:$I$304,'Exit Log'!$A$5:$A$304,A67))</f>
        <v/>
      </c>
      <c r="X67" s="11" t="str">
        <f t="shared" si="11"/>
        <v/>
      </c>
      <c r="Y67" s="9" t="e">
        <f>IF(W67=0,"",SUMIFS('Exit Log'!$N$5:$N$304,'Exit Log'!$A$5:$A$304,A67)/(W67*100))</f>
        <v>#VALUE!</v>
      </c>
      <c r="Z67" s="9" t="str">
        <f>IF(A67="","",SUMIFS('Exit Log'!$N$5:$N$304,'Exit Log'!$A$5:$A$304,A67))</f>
        <v/>
      </c>
      <c r="AA67" s="9" t="str">
        <f>IF(A67="","",SUMIFS('Exit Log'!$K$5:$K$304,'Exit Log'!$A$5:$A$304,A67))</f>
        <v/>
      </c>
      <c r="AB67" s="9" t="str">
        <f>IF(A67="","",SUMIFS('Exit Log'!$P$5:$P$304,'Exit Log'!$A$5:$A$304,A67))</f>
        <v/>
      </c>
      <c r="AC67" s="12" t="e">
        <f t="shared" si="12"/>
        <v>#VALUE!</v>
      </c>
      <c r="AD67" s="4" t="str">
        <f t="shared" si="13"/>
        <v/>
      </c>
      <c r="AE67" s="13">
        <f>IF(W67=0,"",LOOKUP(2,1/('Exit Log'!$A$5:$A$304=A67),'Exit Log'!$C$5:$C$304))</f>
        <v>0</v>
      </c>
      <c r="AF67" s="14">
        <f>IF(W67=0,"",LOOKUP(2,1/('Exit Log'!$A$5:$A$304=A67),'Exit Log'!$E$5:$E$304))</f>
        <v>0</v>
      </c>
      <c r="AG67" s="2"/>
      <c r="AH67" s="2"/>
      <c r="AI67" s="10"/>
      <c r="AJ67" s="2"/>
    </row>
    <row r="68" spans="1:36">
      <c r="A68" s="2"/>
      <c r="B68" s="3"/>
      <c r="C68" s="4" t="str">
        <f t="shared" si="8"/>
        <v/>
      </c>
      <c r="D68" s="5"/>
      <c r="E68" s="2"/>
      <c r="F68" s="2"/>
      <c r="G68" s="2"/>
      <c r="H68" s="2"/>
      <c r="I68" s="2"/>
      <c r="J68" s="2"/>
      <c r="K68" s="3"/>
      <c r="L68" s="4" t="str">
        <f t="shared" si="9"/>
        <v/>
      </c>
      <c r="M68" s="6"/>
      <c r="N68" s="2"/>
      <c r="O68" s="7"/>
      <c r="P68" s="8"/>
      <c r="Q68" s="8"/>
      <c r="R68" s="8"/>
      <c r="S68" s="9" t="str">
        <f t="shared" si="10"/>
        <v/>
      </c>
      <c r="T68" s="2"/>
      <c r="U68" s="10"/>
      <c r="V68" s="10"/>
      <c r="W68" s="11" t="str">
        <f>IF(A68="","",SUMIFS('Exit Log'!$I$5:$I$304,'Exit Log'!$A$5:$A$304,A68))</f>
        <v/>
      </c>
      <c r="X68" s="11" t="str">
        <f t="shared" si="11"/>
        <v/>
      </c>
      <c r="Y68" s="9" t="e">
        <f>IF(W68=0,"",SUMIFS('Exit Log'!$N$5:$N$304,'Exit Log'!$A$5:$A$304,A68)/(W68*100))</f>
        <v>#VALUE!</v>
      </c>
      <c r="Z68" s="9" t="str">
        <f>IF(A68="","",SUMIFS('Exit Log'!$N$5:$N$304,'Exit Log'!$A$5:$A$304,A68))</f>
        <v/>
      </c>
      <c r="AA68" s="9" t="str">
        <f>IF(A68="","",SUMIFS('Exit Log'!$K$5:$K$304,'Exit Log'!$A$5:$A$304,A68))</f>
        <v/>
      </c>
      <c r="AB68" s="9" t="str">
        <f>IF(A68="","",SUMIFS('Exit Log'!$P$5:$P$304,'Exit Log'!$A$5:$A$304,A68))</f>
        <v/>
      </c>
      <c r="AC68" s="12" t="e">
        <f t="shared" si="12"/>
        <v>#VALUE!</v>
      </c>
      <c r="AD68" s="4" t="str">
        <f t="shared" si="13"/>
        <v/>
      </c>
      <c r="AE68" s="13">
        <f>IF(W68=0,"",LOOKUP(2,1/('Exit Log'!$A$5:$A$304=A68),'Exit Log'!$C$5:$C$304))</f>
        <v>0</v>
      </c>
      <c r="AF68" s="14">
        <f>IF(W68=0,"",LOOKUP(2,1/('Exit Log'!$A$5:$A$304=A68),'Exit Log'!$E$5:$E$304))</f>
        <v>0</v>
      </c>
      <c r="AG68" s="2"/>
      <c r="AH68" s="2"/>
      <c r="AI68" s="10"/>
      <c r="AJ68" s="2"/>
    </row>
    <row r="69" spans="1:36">
      <c r="A69" s="2"/>
      <c r="B69" s="3"/>
      <c r="C69" s="4" t="str">
        <f t="shared" ref="C69:C100" si="14">IF(B69="","",TEXT(B69,"dddd"))</f>
        <v/>
      </c>
      <c r="D69" s="5"/>
      <c r="E69" s="2"/>
      <c r="F69" s="2"/>
      <c r="G69" s="2"/>
      <c r="H69" s="2"/>
      <c r="I69" s="2"/>
      <c r="J69" s="2"/>
      <c r="K69" s="3"/>
      <c r="L69" s="4" t="str">
        <f t="shared" ref="L69:L100" si="15">IF(OR(B69="",K69=""),"",K69-B69)</f>
        <v/>
      </c>
      <c r="M69" s="6"/>
      <c r="N69" s="2"/>
      <c r="O69" s="7"/>
      <c r="P69" s="8"/>
      <c r="Q69" s="8"/>
      <c r="R69" s="8"/>
      <c r="S69" s="9" t="str">
        <f t="shared" ref="S69:S100" si="16">IF(OR(O69="",P69=""),"",O69*P69*100+IF(Q69="",0,Q69))</f>
        <v/>
      </c>
      <c r="T69" s="2"/>
      <c r="U69" s="10"/>
      <c r="V69" s="10"/>
      <c r="W69" s="11" t="str">
        <f>IF(A69="","",SUMIFS('Exit Log'!$I$5:$I$304,'Exit Log'!$A$5:$A$304,A69))</f>
        <v/>
      </c>
      <c r="X69" s="11" t="str">
        <f t="shared" ref="X69:X100" si="17">IF(A69="","",O69-W69)</f>
        <v/>
      </c>
      <c r="Y69" s="9" t="e">
        <f>IF(W69=0,"",SUMIFS('Exit Log'!$N$5:$N$304,'Exit Log'!$A$5:$A$304,A69)/(W69*100))</f>
        <v>#VALUE!</v>
      </c>
      <c r="Z69" s="9" t="str">
        <f>IF(A69="","",SUMIFS('Exit Log'!$N$5:$N$304,'Exit Log'!$A$5:$A$304,A69))</f>
        <v/>
      </c>
      <c r="AA69" s="9" t="str">
        <f>IF(A69="","",SUMIFS('Exit Log'!$K$5:$K$304,'Exit Log'!$A$5:$A$304,A69))</f>
        <v/>
      </c>
      <c r="AB69" s="9" t="str">
        <f>IF(A69="","",SUMIFS('Exit Log'!$P$5:$P$304,'Exit Log'!$A$5:$A$304,A69))</f>
        <v/>
      </c>
      <c r="AC69" s="12" t="e">
        <f t="shared" ref="AC69:AC100" si="18">IF(W69=0,"",AB69/(W69*P69*100+IFERROR(Q69*W69/O69,0)))</f>
        <v>#VALUE!</v>
      </c>
      <c r="AD69" s="4" t="str">
        <f t="shared" ref="AD69:AD100" si="19">IF(A69="","",IF(W69=0,"Open",IF(X69=0,"Closed","Partially Trimmed")))</f>
        <v/>
      </c>
      <c r="AE69" s="13">
        <f>IF(W69=0,"",LOOKUP(2,1/('Exit Log'!$A$5:$A$304=A69),'Exit Log'!$C$5:$C$304))</f>
        <v>0</v>
      </c>
      <c r="AF69" s="14">
        <f>IF(W69=0,"",LOOKUP(2,1/('Exit Log'!$A$5:$A$304=A69),'Exit Log'!$E$5:$E$304))</f>
        <v>0</v>
      </c>
      <c r="AG69" s="2"/>
      <c r="AH69" s="2"/>
      <c r="AI69" s="10"/>
      <c r="AJ69" s="2"/>
    </row>
    <row r="70" spans="1:36">
      <c r="A70" s="2"/>
      <c r="B70" s="3"/>
      <c r="C70" s="4" t="str">
        <f t="shared" si="14"/>
        <v/>
      </c>
      <c r="D70" s="5"/>
      <c r="E70" s="2"/>
      <c r="F70" s="2"/>
      <c r="G70" s="2"/>
      <c r="H70" s="2"/>
      <c r="I70" s="2"/>
      <c r="J70" s="2"/>
      <c r="K70" s="3"/>
      <c r="L70" s="4" t="str">
        <f t="shared" si="15"/>
        <v/>
      </c>
      <c r="M70" s="6"/>
      <c r="N70" s="2"/>
      <c r="O70" s="7"/>
      <c r="P70" s="8"/>
      <c r="Q70" s="8"/>
      <c r="R70" s="8"/>
      <c r="S70" s="9" t="str">
        <f t="shared" si="16"/>
        <v/>
      </c>
      <c r="T70" s="2"/>
      <c r="U70" s="10"/>
      <c r="V70" s="10"/>
      <c r="W70" s="11" t="str">
        <f>IF(A70="","",SUMIFS('Exit Log'!$I$5:$I$304,'Exit Log'!$A$5:$A$304,A70))</f>
        <v/>
      </c>
      <c r="X70" s="11" t="str">
        <f t="shared" si="17"/>
        <v/>
      </c>
      <c r="Y70" s="9" t="e">
        <f>IF(W70=0,"",SUMIFS('Exit Log'!$N$5:$N$304,'Exit Log'!$A$5:$A$304,A70)/(W70*100))</f>
        <v>#VALUE!</v>
      </c>
      <c r="Z70" s="9" t="str">
        <f>IF(A70="","",SUMIFS('Exit Log'!$N$5:$N$304,'Exit Log'!$A$5:$A$304,A70))</f>
        <v/>
      </c>
      <c r="AA70" s="9" t="str">
        <f>IF(A70="","",SUMIFS('Exit Log'!$K$5:$K$304,'Exit Log'!$A$5:$A$304,A70))</f>
        <v/>
      </c>
      <c r="AB70" s="9" t="str">
        <f>IF(A70="","",SUMIFS('Exit Log'!$P$5:$P$304,'Exit Log'!$A$5:$A$304,A70))</f>
        <v/>
      </c>
      <c r="AC70" s="12" t="e">
        <f t="shared" si="18"/>
        <v>#VALUE!</v>
      </c>
      <c r="AD70" s="4" t="str">
        <f t="shared" si="19"/>
        <v/>
      </c>
      <c r="AE70" s="13">
        <f>IF(W70=0,"",LOOKUP(2,1/('Exit Log'!$A$5:$A$304=A70),'Exit Log'!$C$5:$C$304))</f>
        <v>0</v>
      </c>
      <c r="AF70" s="14">
        <f>IF(W70=0,"",LOOKUP(2,1/('Exit Log'!$A$5:$A$304=A70),'Exit Log'!$E$5:$E$304))</f>
        <v>0</v>
      </c>
      <c r="AG70" s="2"/>
      <c r="AH70" s="2"/>
      <c r="AI70" s="10"/>
      <c r="AJ70" s="2"/>
    </row>
    <row r="71" spans="1:36">
      <c r="A71" s="2"/>
      <c r="B71" s="3"/>
      <c r="C71" s="4" t="str">
        <f t="shared" si="14"/>
        <v/>
      </c>
      <c r="D71" s="5"/>
      <c r="E71" s="2"/>
      <c r="F71" s="2"/>
      <c r="G71" s="2"/>
      <c r="H71" s="2"/>
      <c r="I71" s="2"/>
      <c r="J71" s="2"/>
      <c r="K71" s="3"/>
      <c r="L71" s="4" t="str">
        <f t="shared" si="15"/>
        <v/>
      </c>
      <c r="M71" s="6"/>
      <c r="N71" s="2"/>
      <c r="O71" s="7"/>
      <c r="P71" s="8"/>
      <c r="Q71" s="8"/>
      <c r="R71" s="8"/>
      <c r="S71" s="9" t="str">
        <f t="shared" si="16"/>
        <v/>
      </c>
      <c r="T71" s="2"/>
      <c r="U71" s="10"/>
      <c r="V71" s="10"/>
      <c r="W71" s="11" t="str">
        <f>IF(A71="","",SUMIFS('Exit Log'!$I$5:$I$304,'Exit Log'!$A$5:$A$304,A71))</f>
        <v/>
      </c>
      <c r="X71" s="11" t="str">
        <f t="shared" si="17"/>
        <v/>
      </c>
      <c r="Y71" s="9" t="e">
        <f>IF(W71=0,"",SUMIFS('Exit Log'!$N$5:$N$304,'Exit Log'!$A$5:$A$304,A71)/(W71*100))</f>
        <v>#VALUE!</v>
      </c>
      <c r="Z71" s="9" t="str">
        <f>IF(A71="","",SUMIFS('Exit Log'!$N$5:$N$304,'Exit Log'!$A$5:$A$304,A71))</f>
        <v/>
      </c>
      <c r="AA71" s="9" t="str">
        <f>IF(A71="","",SUMIFS('Exit Log'!$K$5:$K$304,'Exit Log'!$A$5:$A$304,A71))</f>
        <v/>
      </c>
      <c r="AB71" s="9" t="str">
        <f>IF(A71="","",SUMIFS('Exit Log'!$P$5:$P$304,'Exit Log'!$A$5:$A$304,A71))</f>
        <v/>
      </c>
      <c r="AC71" s="12" t="e">
        <f t="shared" si="18"/>
        <v>#VALUE!</v>
      </c>
      <c r="AD71" s="4" t="str">
        <f t="shared" si="19"/>
        <v/>
      </c>
      <c r="AE71" s="13">
        <f>IF(W71=0,"",LOOKUP(2,1/('Exit Log'!$A$5:$A$304=A71),'Exit Log'!$C$5:$C$304))</f>
        <v>0</v>
      </c>
      <c r="AF71" s="14">
        <f>IF(W71=0,"",LOOKUP(2,1/('Exit Log'!$A$5:$A$304=A71),'Exit Log'!$E$5:$E$304))</f>
        <v>0</v>
      </c>
      <c r="AG71" s="2"/>
      <c r="AH71" s="2"/>
      <c r="AI71" s="10"/>
      <c r="AJ71" s="2"/>
    </row>
    <row r="72" spans="1:36">
      <c r="A72" s="2"/>
      <c r="B72" s="3"/>
      <c r="C72" s="4" t="str">
        <f t="shared" si="14"/>
        <v/>
      </c>
      <c r="D72" s="5"/>
      <c r="E72" s="2"/>
      <c r="F72" s="2"/>
      <c r="G72" s="2"/>
      <c r="H72" s="2"/>
      <c r="I72" s="2"/>
      <c r="J72" s="2"/>
      <c r="K72" s="3"/>
      <c r="L72" s="4" t="str">
        <f t="shared" si="15"/>
        <v/>
      </c>
      <c r="M72" s="6"/>
      <c r="N72" s="2"/>
      <c r="O72" s="7"/>
      <c r="P72" s="8"/>
      <c r="Q72" s="8"/>
      <c r="R72" s="8"/>
      <c r="S72" s="9" t="str">
        <f t="shared" si="16"/>
        <v/>
      </c>
      <c r="T72" s="2"/>
      <c r="U72" s="10"/>
      <c r="V72" s="10"/>
      <c r="W72" s="11" t="str">
        <f>IF(A72="","",SUMIFS('Exit Log'!$I$5:$I$304,'Exit Log'!$A$5:$A$304,A72))</f>
        <v/>
      </c>
      <c r="X72" s="11" t="str">
        <f t="shared" si="17"/>
        <v/>
      </c>
      <c r="Y72" s="9" t="e">
        <f>IF(W72=0,"",SUMIFS('Exit Log'!$N$5:$N$304,'Exit Log'!$A$5:$A$304,A72)/(W72*100))</f>
        <v>#VALUE!</v>
      </c>
      <c r="Z72" s="9" t="str">
        <f>IF(A72="","",SUMIFS('Exit Log'!$N$5:$N$304,'Exit Log'!$A$5:$A$304,A72))</f>
        <v/>
      </c>
      <c r="AA72" s="9" t="str">
        <f>IF(A72="","",SUMIFS('Exit Log'!$K$5:$K$304,'Exit Log'!$A$5:$A$304,A72))</f>
        <v/>
      </c>
      <c r="AB72" s="9" t="str">
        <f>IF(A72="","",SUMIFS('Exit Log'!$P$5:$P$304,'Exit Log'!$A$5:$A$304,A72))</f>
        <v/>
      </c>
      <c r="AC72" s="12" t="e">
        <f t="shared" si="18"/>
        <v>#VALUE!</v>
      </c>
      <c r="AD72" s="4" t="str">
        <f t="shared" si="19"/>
        <v/>
      </c>
      <c r="AE72" s="13">
        <f>IF(W72=0,"",LOOKUP(2,1/('Exit Log'!$A$5:$A$304=A72),'Exit Log'!$C$5:$C$304))</f>
        <v>0</v>
      </c>
      <c r="AF72" s="14">
        <f>IF(W72=0,"",LOOKUP(2,1/('Exit Log'!$A$5:$A$304=A72),'Exit Log'!$E$5:$E$304))</f>
        <v>0</v>
      </c>
      <c r="AG72" s="2"/>
      <c r="AH72" s="2"/>
      <c r="AI72" s="10"/>
      <c r="AJ72" s="2"/>
    </row>
    <row r="73" spans="1:36">
      <c r="A73" s="2"/>
      <c r="B73" s="3"/>
      <c r="C73" s="4" t="str">
        <f t="shared" si="14"/>
        <v/>
      </c>
      <c r="D73" s="5"/>
      <c r="E73" s="2"/>
      <c r="F73" s="2"/>
      <c r="G73" s="2"/>
      <c r="H73" s="2"/>
      <c r="I73" s="2"/>
      <c r="J73" s="2"/>
      <c r="K73" s="3"/>
      <c r="L73" s="4" t="str">
        <f t="shared" si="15"/>
        <v/>
      </c>
      <c r="M73" s="6"/>
      <c r="N73" s="2"/>
      <c r="O73" s="7"/>
      <c r="P73" s="8"/>
      <c r="Q73" s="8"/>
      <c r="R73" s="8"/>
      <c r="S73" s="9" t="str">
        <f t="shared" si="16"/>
        <v/>
      </c>
      <c r="T73" s="2"/>
      <c r="U73" s="10"/>
      <c r="V73" s="10"/>
      <c r="W73" s="11" t="str">
        <f>IF(A73="","",SUMIFS('Exit Log'!$I$5:$I$304,'Exit Log'!$A$5:$A$304,A73))</f>
        <v/>
      </c>
      <c r="X73" s="11" t="str">
        <f t="shared" si="17"/>
        <v/>
      </c>
      <c r="Y73" s="9" t="e">
        <f>IF(W73=0,"",SUMIFS('Exit Log'!$N$5:$N$304,'Exit Log'!$A$5:$A$304,A73)/(W73*100))</f>
        <v>#VALUE!</v>
      </c>
      <c r="Z73" s="9" t="str">
        <f>IF(A73="","",SUMIFS('Exit Log'!$N$5:$N$304,'Exit Log'!$A$5:$A$304,A73))</f>
        <v/>
      </c>
      <c r="AA73" s="9" t="str">
        <f>IF(A73="","",SUMIFS('Exit Log'!$K$5:$K$304,'Exit Log'!$A$5:$A$304,A73))</f>
        <v/>
      </c>
      <c r="AB73" s="9" t="str">
        <f>IF(A73="","",SUMIFS('Exit Log'!$P$5:$P$304,'Exit Log'!$A$5:$A$304,A73))</f>
        <v/>
      </c>
      <c r="AC73" s="12" t="e">
        <f t="shared" si="18"/>
        <v>#VALUE!</v>
      </c>
      <c r="AD73" s="4" t="str">
        <f t="shared" si="19"/>
        <v/>
      </c>
      <c r="AE73" s="13">
        <f>IF(W73=0,"",LOOKUP(2,1/('Exit Log'!$A$5:$A$304=A73),'Exit Log'!$C$5:$C$304))</f>
        <v>0</v>
      </c>
      <c r="AF73" s="14">
        <f>IF(W73=0,"",LOOKUP(2,1/('Exit Log'!$A$5:$A$304=A73),'Exit Log'!$E$5:$E$304))</f>
        <v>0</v>
      </c>
      <c r="AG73" s="2"/>
      <c r="AH73" s="2"/>
      <c r="AI73" s="10"/>
      <c r="AJ73" s="2"/>
    </row>
    <row r="74" spans="1:36">
      <c r="A74" s="2"/>
      <c r="B74" s="3"/>
      <c r="C74" s="4" t="str">
        <f t="shared" si="14"/>
        <v/>
      </c>
      <c r="D74" s="5"/>
      <c r="E74" s="2"/>
      <c r="F74" s="2"/>
      <c r="G74" s="2"/>
      <c r="H74" s="2"/>
      <c r="I74" s="2"/>
      <c r="J74" s="2"/>
      <c r="K74" s="3"/>
      <c r="L74" s="4" t="str">
        <f t="shared" si="15"/>
        <v/>
      </c>
      <c r="M74" s="6"/>
      <c r="N74" s="2"/>
      <c r="O74" s="7"/>
      <c r="P74" s="8"/>
      <c r="Q74" s="8"/>
      <c r="R74" s="8"/>
      <c r="S74" s="9" t="str">
        <f t="shared" si="16"/>
        <v/>
      </c>
      <c r="T74" s="2"/>
      <c r="U74" s="10"/>
      <c r="V74" s="10"/>
      <c r="W74" s="11" t="str">
        <f>IF(A74="","",SUMIFS('Exit Log'!$I$5:$I$304,'Exit Log'!$A$5:$A$304,A74))</f>
        <v/>
      </c>
      <c r="X74" s="11" t="str">
        <f t="shared" si="17"/>
        <v/>
      </c>
      <c r="Y74" s="9" t="e">
        <f>IF(W74=0,"",SUMIFS('Exit Log'!$N$5:$N$304,'Exit Log'!$A$5:$A$304,A74)/(W74*100))</f>
        <v>#VALUE!</v>
      </c>
      <c r="Z74" s="9" t="str">
        <f>IF(A74="","",SUMIFS('Exit Log'!$N$5:$N$304,'Exit Log'!$A$5:$A$304,A74))</f>
        <v/>
      </c>
      <c r="AA74" s="9" t="str">
        <f>IF(A74="","",SUMIFS('Exit Log'!$K$5:$K$304,'Exit Log'!$A$5:$A$304,A74))</f>
        <v/>
      </c>
      <c r="AB74" s="9" t="str">
        <f>IF(A74="","",SUMIFS('Exit Log'!$P$5:$P$304,'Exit Log'!$A$5:$A$304,A74))</f>
        <v/>
      </c>
      <c r="AC74" s="12" t="e">
        <f t="shared" si="18"/>
        <v>#VALUE!</v>
      </c>
      <c r="AD74" s="4" t="str">
        <f t="shared" si="19"/>
        <v/>
      </c>
      <c r="AE74" s="13">
        <f>IF(W74=0,"",LOOKUP(2,1/('Exit Log'!$A$5:$A$304=A74),'Exit Log'!$C$5:$C$304))</f>
        <v>0</v>
      </c>
      <c r="AF74" s="14">
        <f>IF(W74=0,"",LOOKUP(2,1/('Exit Log'!$A$5:$A$304=A74),'Exit Log'!$E$5:$E$304))</f>
        <v>0</v>
      </c>
      <c r="AG74" s="2"/>
      <c r="AH74" s="2"/>
      <c r="AI74" s="10"/>
      <c r="AJ74" s="2"/>
    </row>
    <row r="75" spans="1:36">
      <c r="A75" s="2"/>
      <c r="B75" s="3"/>
      <c r="C75" s="4" t="str">
        <f t="shared" si="14"/>
        <v/>
      </c>
      <c r="D75" s="5"/>
      <c r="E75" s="2"/>
      <c r="F75" s="2"/>
      <c r="G75" s="2"/>
      <c r="H75" s="2"/>
      <c r="I75" s="2"/>
      <c r="J75" s="2"/>
      <c r="K75" s="3"/>
      <c r="L75" s="4" t="str">
        <f t="shared" si="15"/>
        <v/>
      </c>
      <c r="M75" s="6"/>
      <c r="N75" s="2"/>
      <c r="O75" s="7"/>
      <c r="P75" s="8"/>
      <c r="Q75" s="8"/>
      <c r="R75" s="8"/>
      <c r="S75" s="9" t="str">
        <f t="shared" si="16"/>
        <v/>
      </c>
      <c r="T75" s="2"/>
      <c r="U75" s="10"/>
      <c r="V75" s="10"/>
      <c r="W75" s="11" t="str">
        <f>IF(A75="","",SUMIFS('Exit Log'!$I$5:$I$304,'Exit Log'!$A$5:$A$304,A75))</f>
        <v/>
      </c>
      <c r="X75" s="11" t="str">
        <f t="shared" si="17"/>
        <v/>
      </c>
      <c r="Y75" s="9" t="e">
        <f>IF(W75=0,"",SUMIFS('Exit Log'!$N$5:$N$304,'Exit Log'!$A$5:$A$304,A75)/(W75*100))</f>
        <v>#VALUE!</v>
      </c>
      <c r="Z75" s="9" t="str">
        <f>IF(A75="","",SUMIFS('Exit Log'!$N$5:$N$304,'Exit Log'!$A$5:$A$304,A75))</f>
        <v/>
      </c>
      <c r="AA75" s="9" t="str">
        <f>IF(A75="","",SUMIFS('Exit Log'!$K$5:$K$304,'Exit Log'!$A$5:$A$304,A75))</f>
        <v/>
      </c>
      <c r="AB75" s="9" t="str">
        <f>IF(A75="","",SUMIFS('Exit Log'!$P$5:$P$304,'Exit Log'!$A$5:$A$304,A75))</f>
        <v/>
      </c>
      <c r="AC75" s="12" t="e">
        <f t="shared" si="18"/>
        <v>#VALUE!</v>
      </c>
      <c r="AD75" s="4" t="str">
        <f t="shared" si="19"/>
        <v/>
      </c>
      <c r="AE75" s="13">
        <f>IF(W75=0,"",LOOKUP(2,1/('Exit Log'!$A$5:$A$304=A75),'Exit Log'!$C$5:$C$304))</f>
        <v>0</v>
      </c>
      <c r="AF75" s="14">
        <f>IF(W75=0,"",LOOKUP(2,1/('Exit Log'!$A$5:$A$304=A75),'Exit Log'!$E$5:$E$304))</f>
        <v>0</v>
      </c>
      <c r="AG75" s="2"/>
      <c r="AH75" s="2"/>
      <c r="AI75" s="10"/>
      <c r="AJ75" s="2"/>
    </row>
    <row r="76" spans="1:36">
      <c r="A76" s="2"/>
      <c r="B76" s="3"/>
      <c r="C76" s="4" t="str">
        <f t="shared" si="14"/>
        <v/>
      </c>
      <c r="D76" s="5"/>
      <c r="E76" s="2"/>
      <c r="F76" s="2"/>
      <c r="G76" s="2"/>
      <c r="H76" s="2"/>
      <c r="I76" s="2"/>
      <c r="J76" s="2"/>
      <c r="K76" s="3"/>
      <c r="L76" s="4" t="str">
        <f t="shared" si="15"/>
        <v/>
      </c>
      <c r="M76" s="6"/>
      <c r="N76" s="2"/>
      <c r="O76" s="7"/>
      <c r="P76" s="8"/>
      <c r="Q76" s="8"/>
      <c r="R76" s="8"/>
      <c r="S76" s="9" t="str">
        <f t="shared" si="16"/>
        <v/>
      </c>
      <c r="T76" s="2"/>
      <c r="U76" s="10"/>
      <c r="V76" s="10"/>
      <c r="W76" s="11" t="str">
        <f>IF(A76="","",SUMIFS('Exit Log'!$I$5:$I$304,'Exit Log'!$A$5:$A$304,A76))</f>
        <v/>
      </c>
      <c r="X76" s="11" t="str">
        <f t="shared" si="17"/>
        <v/>
      </c>
      <c r="Y76" s="9" t="e">
        <f>IF(W76=0,"",SUMIFS('Exit Log'!$N$5:$N$304,'Exit Log'!$A$5:$A$304,A76)/(W76*100))</f>
        <v>#VALUE!</v>
      </c>
      <c r="Z76" s="9" t="str">
        <f>IF(A76="","",SUMIFS('Exit Log'!$N$5:$N$304,'Exit Log'!$A$5:$A$304,A76))</f>
        <v/>
      </c>
      <c r="AA76" s="9" t="str">
        <f>IF(A76="","",SUMIFS('Exit Log'!$K$5:$K$304,'Exit Log'!$A$5:$A$304,A76))</f>
        <v/>
      </c>
      <c r="AB76" s="9" t="str">
        <f>IF(A76="","",SUMIFS('Exit Log'!$P$5:$P$304,'Exit Log'!$A$5:$A$304,A76))</f>
        <v/>
      </c>
      <c r="AC76" s="12" t="e">
        <f t="shared" si="18"/>
        <v>#VALUE!</v>
      </c>
      <c r="AD76" s="4" t="str">
        <f t="shared" si="19"/>
        <v/>
      </c>
      <c r="AE76" s="13">
        <f>IF(W76=0,"",LOOKUP(2,1/('Exit Log'!$A$5:$A$304=A76),'Exit Log'!$C$5:$C$304))</f>
        <v>0</v>
      </c>
      <c r="AF76" s="14">
        <f>IF(W76=0,"",LOOKUP(2,1/('Exit Log'!$A$5:$A$304=A76),'Exit Log'!$E$5:$E$304))</f>
        <v>0</v>
      </c>
      <c r="AG76" s="2"/>
      <c r="AH76" s="2"/>
      <c r="AI76" s="10"/>
      <c r="AJ76" s="2"/>
    </row>
    <row r="77" spans="1:36">
      <c r="A77" s="2"/>
      <c r="B77" s="3"/>
      <c r="C77" s="4" t="str">
        <f t="shared" si="14"/>
        <v/>
      </c>
      <c r="D77" s="5"/>
      <c r="E77" s="2"/>
      <c r="F77" s="2"/>
      <c r="G77" s="2"/>
      <c r="H77" s="2"/>
      <c r="I77" s="2"/>
      <c r="J77" s="2"/>
      <c r="K77" s="3"/>
      <c r="L77" s="4" t="str">
        <f t="shared" si="15"/>
        <v/>
      </c>
      <c r="M77" s="6"/>
      <c r="N77" s="2"/>
      <c r="O77" s="7"/>
      <c r="P77" s="8"/>
      <c r="Q77" s="8"/>
      <c r="R77" s="8"/>
      <c r="S77" s="9" t="str">
        <f t="shared" si="16"/>
        <v/>
      </c>
      <c r="T77" s="2"/>
      <c r="U77" s="10"/>
      <c r="V77" s="10"/>
      <c r="W77" s="11" t="str">
        <f>IF(A77="","",SUMIFS('Exit Log'!$I$5:$I$304,'Exit Log'!$A$5:$A$304,A77))</f>
        <v/>
      </c>
      <c r="X77" s="11" t="str">
        <f t="shared" si="17"/>
        <v/>
      </c>
      <c r="Y77" s="9" t="e">
        <f>IF(W77=0,"",SUMIFS('Exit Log'!$N$5:$N$304,'Exit Log'!$A$5:$A$304,A77)/(W77*100))</f>
        <v>#VALUE!</v>
      </c>
      <c r="Z77" s="9" t="str">
        <f>IF(A77="","",SUMIFS('Exit Log'!$N$5:$N$304,'Exit Log'!$A$5:$A$304,A77))</f>
        <v/>
      </c>
      <c r="AA77" s="9" t="str">
        <f>IF(A77="","",SUMIFS('Exit Log'!$K$5:$K$304,'Exit Log'!$A$5:$A$304,A77))</f>
        <v/>
      </c>
      <c r="AB77" s="9" t="str">
        <f>IF(A77="","",SUMIFS('Exit Log'!$P$5:$P$304,'Exit Log'!$A$5:$A$304,A77))</f>
        <v/>
      </c>
      <c r="AC77" s="12" t="e">
        <f t="shared" si="18"/>
        <v>#VALUE!</v>
      </c>
      <c r="AD77" s="4" t="str">
        <f t="shared" si="19"/>
        <v/>
      </c>
      <c r="AE77" s="13">
        <f>IF(W77=0,"",LOOKUP(2,1/('Exit Log'!$A$5:$A$304=A77),'Exit Log'!$C$5:$C$304))</f>
        <v>0</v>
      </c>
      <c r="AF77" s="14">
        <f>IF(W77=0,"",LOOKUP(2,1/('Exit Log'!$A$5:$A$304=A77),'Exit Log'!$E$5:$E$304))</f>
        <v>0</v>
      </c>
      <c r="AG77" s="2"/>
      <c r="AH77" s="2"/>
      <c r="AI77" s="10"/>
      <c r="AJ77" s="2"/>
    </row>
    <row r="78" spans="1:36">
      <c r="A78" s="2"/>
      <c r="B78" s="3"/>
      <c r="C78" s="4" t="str">
        <f t="shared" si="14"/>
        <v/>
      </c>
      <c r="D78" s="5"/>
      <c r="E78" s="2"/>
      <c r="F78" s="2"/>
      <c r="G78" s="2"/>
      <c r="H78" s="2"/>
      <c r="I78" s="2"/>
      <c r="J78" s="2"/>
      <c r="K78" s="3"/>
      <c r="L78" s="4" t="str">
        <f t="shared" si="15"/>
        <v/>
      </c>
      <c r="M78" s="6"/>
      <c r="N78" s="2"/>
      <c r="O78" s="7"/>
      <c r="P78" s="8"/>
      <c r="Q78" s="8"/>
      <c r="R78" s="8"/>
      <c r="S78" s="9" t="str">
        <f t="shared" si="16"/>
        <v/>
      </c>
      <c r="T78" s="2"/>
      <c r="U78" s="10"/>
      <c r="V78" s="10"/>
      <c r="W78" s="11" t="str">
        <f>IF(A78="","",SUMIFS('Exit Log'!$I$5:$I$304,'Exit Log'!$A$5:$A$304,A78))</f>
        <v/>
      </c>
      <c r="X78" s="11" t="str">
        <f t="shared" si="17"/>
        <v/>
      </c>
      <c r="Y78" s="9" t="e">
        <f>IF(W78=0,"",SUMIFS('Exit Log'!$N$5:$N$304,'Exit Log'!$A$5:$A$304,A78)/(W78*100))</f>
        <v>#VALUE!</v>
      </c>
      <c r="Z78" s="9" t="str">
        <f>IF(A78="","",SUMIFS('Exit Log'!$N$5:$N$304,'Exit Log'!$A$5:$A$304,A78))</f>
        <v/>
      </c>
      <c r="AA78" s="9" t="str">
        <f>IF(A78="","",SUMIFS('Exit Log'!$K$5:$K$304,'Exit Log'!$A$5:$A$304,A78))</f>
        <v/>
      </c>
      <c r="AB78" s="9" t="str">
        <f>IF(A78="","",SUMIFS('Exit Log'!$P$5:$P$304,'Exit Log'!$A$5:$A$304,A78))</f>
        <v/>
      </c>
      <c r="AC78" s="12" t="e">
        <f t="shared" si="18"/>
        <v>#VALUE!</v>
      </c>
      <c r="AD78" s="4" t="str">
        <f t="shared" si="19"/>
        <v/>
      </c>
      <c r="AE78" s="13">
        <f>IF(W78=0,"",LOOKUP(2,1/('Exit Log'!$A$5:$A$304=A78),'Exit Log'!$C$5:$C$304))</f>
        <v>0</v>
      </c>
      <c r="AF78" s="14">
        <f>IF(W78=0,"",LOOKUP(2,1/('Exit Log'!$A$5:$A$304=A78),'Exit Log'!$E$5:$E$304))</f>
        <v>0</v>
      </c>
      <c r="AG78" s="2"/>
      <c r="AH78" s="2"/>
      <c r="AI78" s="10"/>
      <c r="AJ78" s="2"/>
    </row>
    <row r="79" spans="1:36">
      <c r="A79" s="2"/>
      <c r="B79" s="3"/>
      <c r="C79" s="4" t="str">
        <f t="shared" si="14"/>
        <v/>
      </c>
      <c r="D79" s="5"/>
      <c r="E79" s="2"/>
      <c r="F79" s="2"/>
      <c r="G79" s="2"/>
      <c r="H79" s="2"/>
      <c r="I79" s="2"/>
      <c r="J79" s="2"/>
      <c r="K79" s="3"/>
      <c r="L79" s="4" t="str">
        <f t="shared" si="15"/>
        <v/>
      </c>
      <c r="M79" s="6"/>
      <c r="N79" s="2"/>
      <c r="O79" s="7"/>
      <c r="P79" s="8"/>
      <c r="Q79" s="8"/>
      <c r="R79" s="8"/>
      <c r="S79" s="9" t="str">
        <f t="shared" si="16"/>
        <v/>
      </c>
      <c r="T79" s="2"/>
      <c r="U79" s="10"/>
      <c r="V79" s="10"/>
      <c r="W79" s="11" t="str">
        <f>IF(A79="","",SUMIFS('Exit Log'!$I$5:$I$304,'Exit Log'!$A$5:$A$304,A79))</f>
        <v/>
      </c>
      <c r="X79" s="11" t="str">
        <f t="shared" si="17"/>
        <v/>
      </c>
      <c r="Y79" s="9" t="e">
        <f>IF(W79=0,"",SUMIFS('Exit Log'!$N$5:$N$304,'Exit Log'!$A$5:$A$304,A79)/(W79*100))</f>
        <v>#VALUE!</v>
      </c>
      <c r="Z79" s="9" t="str">
        <f>IF(A79="","",SUMIFS('Exit Log'!$N$5:$N$304,'Exit Log'!$A$5:$A$304,A79))</f>
        <v/>
      </c>
      <c r="AA79" s="9" t="str">
        <f>IF(A79="","",SUMIFS('Exit Log'!$K$5:$K$304,'Exit Log'!$A$5:$A$304,A79))</f>
        <v/>
      </c>
      <c r="AB79" s="9" t="str">
        <f>IF(A79="","",SUMIFS('Exit Log'!$P$5:$P$304,'Exit Log'!$A$5:$A$304,A79))</f>
        <v/>
      </c>
      <c r="AC79" s="12" t="e">
        <f t="shared" si="18"/>
        <v>#VALUE!</v>
      </c>
      <c r="AD79" s="4" t="str">
        <f t="shared" si="19"/>
        <v/>
      </c>
      <c r="AE79" s="13">
        <f>IF(W79=0,"",LOOKUP(2,1/('Exit Log'!$A$5:$A$304=A79),'Exit Log'!$C$5:$C$304))</f>
        <v>0</v>
      </c>
      <c r="AF79" s="14">
        <f>IF(W79=0,"",LOOKUP(2,1/('Exit Log'!$A$5:$A$304=A79),'Exit Log'!$E$5:$E$304))</f>
        <v>0</v>
      </c>
      <c r="AG79" s="2"/>
      <c r="AH79" s="2"/>
      <c r="AI79" s="10"/>
      <c r="AJ79" s="2"/>
    </row>
    <row r="80" spans="1:36">
      <c r="A80" s="2"/>
      <c r="B80" s="3"/>
      <c r="C80" s="4" t="str">
        <f t="shared" si="14"/>
        <v/>
      </c>
      <c r="D80" s="5"/>
      <c r="E80" s="2"/>
      <c r="F80" s="2"/>
      <c r="G80" s="2"/>
      <c r="H80" s="2"/>
      <c r="I80" s="2"/>
      <c r="J80" s="2"/>
      <c r="K80" s="3"/>
      <c r="L80" s="4" t="str">
        <f t="shared" si="15"/>
        <v/>
      </c>
      <c r="M80" s="6"/>
      <c r="N80" s="2"/>
      <c r="O80" s="7"/>
      <c r="P80" s="8"/>
      <c r="Q80" s="8"/>
      <c r="R80" s="8"/>
      <c r="S80" s="9" t="str">
        <f t="shared" si="16"/>
        <v/>
      </c>
      <c r="T80" s="2"/>
      <c r="U80" s="10"/>
      <c r="V80" s="10"/>
      <c r="W80" s="11" t="str">
        <f>IF(A80="","",SUMIFS('Exit Log'!$I$5:$I$304,'Exit Log'!$A$5:$A$304,A80))</f>
        <v/>
      </c>
      <c r="X80" s="11" t="str">
        <f t="shared" si="17"/>
        <v/>
      </c>
      <c r="Y80" s="9" t="e">
        <f>IF(W80=0,"",SUMIFS('Exit Log'!$N$5:$N$304,'Exit Log'!$A$5:$A$304,A80)/(W80*100))</f>
        <v>#VALUE!</v>
      </c>
      <c r="Z80" s="9" t="str">
        <f>IF(A80="","",SUMIFS('Exit Log'!$N$5:$N$304,'Exit Log'!$A$5:$A$304,A80))</f>
        <v/>
      </c>
      <c r="AA80" s="9" t="str">
        <f>IF(A80="","",SUMIFS('Exit Log'!$K$5:$K$304,'Exit Log'!$A$5:$A$304,A80))</f>
        <v/>
      </c>
      <c r="AB80" s="9" t="str">
        <f>IF(A80="","",SUMIFS('Exit Log'!$P$5:$P$304,'Exit Log'!$A$5:$A$304,A80))</f>
        <v/>
      </c>
      <c r="AC80" s="12" t="e">
        <f t="shared" si="18"/>
        <v>#VALUE!</v>
      </c>
      <c r="AD80" s="4" t="str">
        <f t="shared" si="19"/>
        <v/>
      </c>
      <c r="AE80" s="13">
        <f>IF(W80=0,"",LOOKUP(2,1/('Exit Log'!$A$5:$A$304=A80),'Exit Log'!$C$5:$C$304))</f>
        <v>0</v>
      </c>
      <c r="AF80" s="14">
        <f>IF(W80=0,"",LOOKUP(2,1/('Exit Log'!$A$5:$A$304=A80),'Exit Log'!$E$5:$E$304))</f>
        <v>0</v>
      </c>
      <c r="AG80" s="2"/>
      <c r="AH80" s="2"/>
      <c r="AI80" s="10"/>
      <c r="AJ80" s="2"/>
    </row>
    <row r="81" spans="1:36">
      <c r="A81" s="2"/>
      <c r="B81" s="3"/>
      <c r="C81" s="4" t="str">
        <f t="shared" si="14"/>
        <v/>
      </c>
      <c r="D81" s="5"/>
      <c r="E81" s="2"/>
      <c r="F81" s="2"/>
      <c r="G81" s="2"/>
      <c r="H81" s="2"/>
      <c r="I81" s="2"/>
      <c r="J81" s="2"/>
      <c r="K81" s="3"/>
      <c r="L81" s="4" t="str">
        <f t="shared" si="15"/>
        <v/>
      </c>
      <c r="M81" s="6"/>
      <c r="N81" s="2"/>
      <c r="O81" s="7"/>
      <c r="P81" s="8"/>
      <c r="Q81" s="8"/>
      <c r="R81" s="8"/>
      <c r="S81" s="9" t="str">
        <f t="shared" si="16"/>
        <v/>
      </c>
      <c r="T81" s="2"/>
      <c r="U81" s="10"/>
      <c r="V81" s="10"/>
      <c r="W81" s="11" t="str">
        <f>IF(A81="","",SUMIFS('Exit Log'!$I$5:$I$304,'Exit Log'!$A$5:$A$304,A81))</f>
        <v/>
      </c>
      <c r="X81" s="11" t="str">
        <f t="shared" si="17"/>
        <v/>
      </c>
      <c r="Y81" s="9" t="e">
        <f>IF(W81=0,"",SUMIFS('Exit Log'!$N$5:$N$304,'Exit Log'!$A$5:$A$304,A81)/(W81*100))</f>
        <v>#VALUE!</v>
      </c>
      <c r="Z81" s="9" t="str">
        <f>IF(A81="","",SUMIFS('Exit Log'!$N$5:$N$304,'Exit Log'!$A$5:$A$304,A81))</f>
        <v/>
      </c>
      <c r="AA81" s="9" t="str">
        <f>IF(A81="","",SUMIFS('Exit Log'!$K$5:$K$304,'Exit Log'!$A$5:$A$304,A81))</f>
        <v/>
      </c>
      <c r="AB81" s="9" t="str">
        <f>IF(A81="","",SUMIFS('Exit Log'!$P$5:$P$304,'Exit Log'!$A$5:$A$304,A81))</f>
        <v/>
      </c>
      <c r="AC81" s="12" t="e">
        <f t="shared" si="18"/>
        <v>#VALUE!</v>
      </c>
      <c r="AD81" s="4" t="str">
        <f t="shared" si="19"/>
        <v/>
      </c>
      <c r="AE81" s="13">
        <f>IF(W81=0,"",LOOKUP(2,1/('Exit Log'!$A$5:$A$304=A81),'Exit Log'!$C$5:$C$304))</f>
        <v>0</v>
      </c>
      <c r="AF81" s="14">
        <f>IF(W81=0,"",LOOKUP(2,1/('Exit Log'!$A$5:$A$304=A81),'Exit Log'!$E$5:$E$304))</f>
        <v>0</v>
      </c>
      <c r="AG81" s="2"/>
      <c r="AH81" s="2"/>
      <c r="AI81" s="10"/>
      <c r="AJ81" s="2"/>
    </row>
    <row r="82" spans="1:36">
      <c r="A82" s="2"/>
      <c r="B82" s="3"/>
      <c r="C82" s="4" t="str">
        <f t="shared" si="14"/>
        <v/>
      </c>
      <c r="D82" s="5"/>
      <c r="E82" s="2"/>
      <c r="F82" s="2"/>
      <c r="G82" s="2"/>
      <c r="H82" s="2"/>
      <c r="I82" s="2"/>
      <c r="J82" s="2"/>
      <c r="K82" s="3"/>
      <c r="L82" s="4" t="str">
        <f t="shared" si="15"/>
        <v/>
      </c>
      <c r="M82" s="6"/>
      <c r="N82" s="2"/>
      <c r="O82" s="7"/>
      <c r="P82" s="8"/>
      <c r="Q82" s="8"/>
      <c r="R82" s="8"/>
      <c r="S82" s="9" t="str">
        <f t="shared" si="16"/>
        <v/>
      </c>
      <c r="T82" s="2"/>
      <c r="U82" s="10"/>
      <c r="V82" s="10"/>
      <c r="W82" s="11" t="str">
        <f>IF(A82="","",SUMIFS('Exit Log'!$I$5:$I$304,'Exit Log'!$A$5:$A$304,A82))</f>
        <v/>
      </c>
      <c r="X82" s="11" t="str">
        <f t="shared" si="17"/>
        <v/>
      </c>
      <c r="Y82" s="9" t="e">
        <f>IF(W82=0,"",SUMIFS('Exit Log'!$N$5:$N$304,'Exit Log'!$A$5:$A$304,A82)/(W82*100))</f>
        <v>#VALUE!</v>
      </c>
      <c r="Z82" s="9" t="str">
        <f>IF(A82="","",SUMIFS('Exit Log'!$N$5:$N$304,'Exit Log'!$A$5:$A$304,A82))</f>
        <v/>
      </c>
      <c r="AA82" s="9" t="str">
        <f>IF(A82="","",SUMIFS('Exit Log'!$K$5:$K$304,'Exit Log'!$A$5:$A$304,A82))</f>
        <v/>
      </c>
      <c r="AB82" s="9" t="str">
        <f>IF(A82="","",SUMIFS('Exit Log'!$P$5:$P$304,'Exit Log'!$A$5:$A$304,A82))</f>
        <v/>
      </c>
      <c r="AC82" s="12" t="e">
        <f t="shared" si="18"/>
        <v>#VALUE!</v>
      </c>
      <c r="AD82" s="4" t="str">
        <f t="shared" si="19"/>
        <v/>
      </c>
      <c r="AE82" s="13">
        <f>IF(W82=0,"",LOOKUP(2,1/('Exit Log'!$A$5:$A$304=A82),'Exit Log'!$C$5:$C$304))</f>
        <v>0</v>
      </c>
      <c r="AF82" s="14">
        <f>IF(W82=0,"",LOOKUP(2,1/('Exit Log'!$A$5:$A$304=A82),'Exit Log'!$E$5:$E$304))</f>
        <v>0</v>
      </c>
      <c r="AG82" s="2"/>
      <c r="AH82" s="2"/>
      <c r="AI82" s="10"/>
      <c r="AJ82" s="2"/>
    </row>
    <row r="83" spans="1:36">
      <c r="A83" s="2"/>
      <c r="B83" s="3"/>
      <c r="C83" s="4" t="str">
        <f t="shared" si="14"/>
        <v/>
      </c>
      <c r="D83" s="5"/>
      <c r="E83" s="2"/>
      <c r="F83" s="2"/>
      <c r="G83" s="2"/>
      <c r="H83" s="2"/>
      <c r="I83" s="2"/>
      <c r="J83" s="2"/>
      <c r="K83" s="3"/>
      <c r="L83" s="4" t="str">
        <f t="shared" si="15"/>
        <v/>
      </c>
      <c r="M83" s="6"/>
      <c r="N83" s="2"/>
      <c r="O83" s="7"/>
      <c r="P83" s="8"/>
      <c r="Q83" s="8"/>
      <c r="R83" s="8"/>
      <c r="S83" s="9" t="str">
        <f t="shared" si="16"/>
        <v/>
      </c>
      <c r="T83" s="2"/>
      <c r="U83" s="10"/>
      <c r="V83" s="10"/>
      <c r="W83" s="11" t="str">
        <f>IF(A83="","",SUMIFS('Exit Log'!$I$5:$I$304,'Exit Log'!$A$5:$A$304,A83))</f>
        <v/>
      </c>
      <c r="X83" s="11" t="str">
        <f t="shared" si="17"/>
        <v/>
      </c>
      <c r="Y83" s="9" t="e">
        <f>IF(W83=0,"",SUMIFS('Exit Log'!$N$5:$N$304,'Exit Log'!$A$5:$A$304,A83)/(W83*100))</f>
        <v>#VALUE!</v>
      </c>
      <c r="Z83" s="9" t="str">
        <f>IF(A83="","",SUMIFS('Exit Log'!$N$5:$N$304,'Exit Log'!$A$5:$A$304,A83))</f>
        <v/>
      </c>
      <c r="AA83" s="9" t="str">
        <f>IF(A83="","",SUMIFS('Exit Log'!$K$5:$K$304,'Exit Log'!$A$5:$A$304,A83))</f>
        <v/>
      </c>
      <c r="AB83" s="9" t="str">
        <f>IF(A83="","",SUMIFS('Exit Log'!$P$5:$P$304,'Exit Log'!$A$5:$A$304,A83))</f>
        <v/>
      </c>
      <c r="AC83" s="12" t="e">
        <f t="shared" si="18"/>
        <v>#VALUE!</v>
      </c>
      <c r="AD83" s="4" t="str">
        <f t="shared" si="19"/>
        <v/>
      </c>
      <c r="AE83" s="13">
        <f>IF(W83=0,"",LOOKUP(2,1/('Exit Log'!$A$5:$A$304=A83),'Exit Log'!$C$5:$C$304))</f>
        <v>0</v>
      </c>
      <c r="AF83" s="14">
        <f>IF(W83=0,"",LOOKUP(2,1/('Exit Log'!$A$5:$A$304=A83),'Exit Log'!$E$5:$E$304))</f>
        <v>0</v>
      </c>
      <c r="AG83" s="2"/>
      <c r="AH83" s="2"/>
      <c r="AI83" s="10"/>
      <c r="AJ83" s="2"/>
    </row>
    <row r="84" spans="1:36">
      <c r="A84" s="2"/>
      <c r="B84" s="3"/>
      <c r="C84" s="4" t="str">
        <f t="shared" si="14"/>
        <v/>
      </c>
      <c r="D84" s="5"/>
      <c r="E84" s="2"/>
      <c r="F84" s="2"/>
      <c r="G84" s="2"/>
      <c r="H84" s="2"/>
      <c r="I84" s="2"/>
      <c r="J84" s="2"/>
      <c r="K84" s="3"/>
      <c r="L84" s="4" t="str">
        <f t="shared" si="15"/>
        <v/>
      </c>
      <c r="M84" s="6"/>
      <c r="N84" s="2"/>
      <c r="O84" s="7"/>
      <c r="P84" s="8"/>
      <c r="Q84" s="8"/>
      <c r="R84" s="8"/>
      <c r="S84" s="9" t="str">
        <f t="shared" si="16"/>
        <v/>
      </c>
      <c r="T84" s="2"/>
      <c r="U84" s="10"/>
      <c r="V84" s="10"/>
      <c r="W84" s="11" t="str">
        <f>IF(A84="","",SUMIFS('Exit Log'!$I$5:$I$304,'Exit Log'!$A$5:$A$304,A84))</f>
        <v/>
      </c>
      <c r="X84" s="11" t="str">
        <f t="shared" si="17"/>
        <v/>
      </c>
      <c r="Y84" s="9" t="e">
        <f>IF(W84=0,"",SUMIFS('Exit Log'!$N$5:$N$304,'Exit Log'!$A$5:$A$304,A84)/(W84*100))</f>
        <v>#VALUE!</v>
      </c>
      <c r="Z84" s="9" t="str">
        <f>IF(A84="","",SUMIFS('Exit Log'!$N$5:$N$304,'Exit Log'!$A$5:$A$304,A84))</f>
        <v/>
      </c>
      <c r="AA84" s="9" t="str">
        <f>IF(A84="","",SUMIFS('Exit Log'!$K$5:$K$304,'Exit Log'!$A$5:$A$304,A84))</f>
        <v/>
      </c>
      <c r="AB84" s="9" t="str">
        <f>IF(A84="","",SUMIFS('Exit Log'!$P$5:$P$304,'Exit Log'!$A$5:$A$304,A84))</f>
        <v/>
      </c>
      <c r="AC84" s="12" t="e">
        <f t="shared" si="18"/>
        <v>#VALUE!</v>
      </c>
      <c r="AD84" s="4" t="str">
        <f t="shared" si="19"/>
        <v/>
      </c>
      <c r="AE84" s="13">
        <f>IF(W84=0,"",LOOKUP(2,1/('Exit Log'!$A$5:$A$304=A84),'Exit Log'!$C$5:$C$304))</f>
        <v>0</v>
      </c>
      <c r="AF84" s="14">
        <f>IF(W84=0,"",LOOKUP(2,1/('Exit Log'!$A$5:$A$304=A84),'Exit Log'!$E$5:$E$304))</f>
        <v>0</v>
      </c>
      <c r="AG84" s="2"/>
      <c r="AH84" s="2"/>
      <c r="AI84" s="10"/>
      <c r="AJ84" s="2"/>
    </row>
    <row r="85" spans="1:36">
      <c r="A85" s="2"/>
      <c r="B85" s="3"/>
      <c r="C85" s="4" t="str">
        <f t="shared" si="14"/>
        <v/>
      </c>
      <c r="D85" s="5"/>
      <c r="E85" s="2"/>
      <c r="F85" s="2"/>
      <c r="G85" s="2"/>
      <c r="H85" s="2"/>
      <c r="I85" s="2"/>
      <c r="J85" s="2"/>
      <c r="K85" s="3"/>
      <c r="L85" s="4" t="str">
        <f t="shared" si="15"/>
        <v/>
      </c>
      <c r="M85" s="6"/>
      <c r="N85" s="2"/>
      <c r="O85" s="7"/>
      <c r="P85" s="8"/>
      <c r="Q85" s="8"/>
      <c r="R85" s="8"/>
      <c r="S85" s="9" t="str">
        <f t="shared" si="16"/>
        <v/>
      </c>
      <c r="T85" s="2"/>
      <c r="U85" s="10"/>
      <c r="V85" s="10"/>
      <c r="W85" s="11" t="str">
        <f>IF(A85="","",SUMIFS('Exit Log'!$I$5:$I$304,'Exit Log'!$A$5:$A$304,A85))</f>
        <v/>
      </c>
      <c r="X85" s="11" t="str">
        <f t="shared" si="17"/>
        <v/>
      </c>
      <c r="Y85" s="9" t="e">
        <f>IF(W85=0,"",SUMIFS('Exit Log'!$N$5:$N$304,'Exit Log'!$A$5:$A$304,A85)/(W85*100))</f>
        <v>#VALUE!</v>
      </c>
      <c r="Z85" s="9" t="str">
        <f>IF(A85="","",SUMIFS('Exit Log'!$N$5:$N$304,'Exit Log'!$A$5:$A$304,A85))</f>
        <v/>
      </c>
      <c r="AA85" s="9" t="str">
        <f>IF(A85="","",SUMIFS('Exit Log'!$K$5:$K$304,'Exit Log'!$A$5:$A$304,A85))</f>
        <v/>
      </c>
      <c r="AB85" s="9" t="str">
        <f>IF(A85="","",SUMIFS('Exit Log'!$P$5:$P$304,'Exit Log'!$A$5:$A$304,A85))</f>
        <v/>
      </c>
      <c r="AC85" s="12" t="e">
        <f t="shared" si="18"/>
        <v>#VALUE!</v>
      </c>
      <c r="AD85" s="4" t="str">
        <f t="shared" si="19"/>
        <v/>
      </c>
      <c r="AE85" s="13">
        <f>IF(W85=0,"",LOOKUP(2,1/('Exit Log'!$A$5:$A$304=A85),'Exit Log'!$C$5:$C$304))</f>
        <v>0</v>
      </c>
      <c r="AF85" s="14">
        <f>IF(W85=0,"",LOOKUP(2,1/('Exit Log'!$A$5:$A$304=A85),'Exit Log'!$E$5:$E$304))</f>
        <v>0</v>
      </c>
      <c r="AG85" s="2"/>
      <c r="AH85" s="2"/>
      <c r="AI85" s="10"/>
      <c r="AJ85" s="2"/>
    </row>
    <row r="86" spans="1:36">
      <c r="A86" s="2"/>
      <c r="B86" s="3"/>
      <c r="C86" s="4" t="str">
        <f t="shared" si="14"/>
        <v/>
      </c>
      <c r="D86" s="5"/>
      <c r="E86" s="2"/>
      <c r="F86" s="2"/>
      <c r="G86" s="2"/>
      <c r="H86" s="2"/>
      <c r="I86" s="2"/>
      <c r="J86" s="2"/>
      <c r="K86" s="3"/>
      <c r="L86" s="4" t="str">
        <f t="shared" si="15"/>
        <v/>
      </c>
      <c r="M86" s="6"/>
      <c r="N86" s="2"/>
      <c r="O86" s="7"/>
      <c r="P86" s="8"/>
      <c r="Q86" s="8"/>
      <c r="R86" s="8"/>
      <c r="S86" s="9" t="str">
        <f t="shared" si="16"/>
        <v/>
      </c>
      <c r="T86" s="2"/>
      <c r="U86" s="10"/>
      <c r="V86" s="10"/>
      <c r="W86" s="11" t="str">
        <f>IF(A86="","",SUMIFS('Exit Log'!$I$5:$I$304,'Exit Log'!$A$5:$A$304,A86))</f>
        <v/>
      </c>
      <c r="X86" s="11" t="str">
        <f t="shared" si="17"/>
        <v/>
      </c>
      <c r="Y86" s="9" t="e">
        <f>IF(W86=0,"",SUMIFS('Exit Log'!$N$5:$N$304,'Exit Log'!$A$5:$A$304,A86)/(W86*100))</f>
        <v>#VALUE!</v>
      </c>
      <c r="Z86" s="9" t="str">
        <f>IF(A86="","",SUMIFS('Exit Log'!$N$5:$N$304,'Exit Log'!$A$5:$A$304,A86))</f>
        <v/>
      </c>
      <c r="AA86" s="9" t="str">
        <f>IF(A86="","",SUMIFS('Exit Log'!$K$5:$K$304,'Exit Log'!$A$5:$A$304,A86))</f>
        <v/>
      </c>
      <c r="AB86" s="9" t="str">
        <f>IF(A86="","",SUMIFS('Exit Log'!$P$5:$P$304,'Exit Log'!$A$5:$A$304,A86))</f>
        <v/>
      </c>
      <c r="AC86" s="12" t="e">
        <f t="shared" si="18"/>
        <v>#VALUE!</v>
      </c>
      <c r="AD86" s="4" t="str">
        <f t="shared" si="19"/>
        <v/>
      </c>
      <c r="AE86" s="13">
        <f>IF(W86=0,"",LOOKUP(2,1/('Exit Log'!$A$5:$A$304=A86),'Exit Log'!$C$5:$C$304))</f>
        <v>0</v>
      </c>
      <c r="AF86" s="14">
        <f>IF(W86=0,"",LOOKUP(2,1/('Exit Log'!$A$5:$A$304=A86),'Exit Log'!$E$5:$E$304))</f>
        <v>0</v>
      </c>
      <c r="AG86" s="2"/>
      <c r="AH86" s="2"/>
      <c r="AI86" s="10"/>
      <c r="AJ86" s="2"/>
    </row>
    <row r="87" spans="1:36">
      <c r="A87" s="2"/>
      <c r="B87" s="3"/>
      <c r="C87" s="4" t="str">
        <f t="shared" si="14"/>
        <v/>
      </c>
      <c r="D87" s="5"/>
      <c r="E87" s="2"/>
      <c r="F87" s="2"/>
      <c r="G87" s="2"/>
      <c r="H87" s="2"/>
      <c r="I87" s="2"/>
      <c r="J87" s="2"/>
      <c r="K87" s="3"/>
      <c r="L87" s="4" t="str">
        <f t="shared" si="15"/>
        <v/>
      </c>
      <c r="M87" s="6"/>
      <c r="N87" s="2"/>
      <c r="O87" s="7"/>
      <c r="P87" s="8"/>
      <c r="Q87" s="8"/>
      <c r="R87" s="8"/>
      <c r="S87" s="9" t="str">
        <f t="shared" si="16"/>
        <v/>
      </c>
      <c r="T87" s="2"/>
      <c r="U87" s="10"/>
      <c r="V87" s="10"/>
      <c r="W87" s="11" t="str">
        <f>IF(A87="","",SUMIFS('Exit Log'!$I$5:$I$304,'Exit Log'!$A$5:$A$304,A87))</f>
        <v/>
      </c>
      <c r="X87" s="11" t="str">
        <f t="shared" si="17"/>
        <v/>
      </c>
      <c r="Y87" s="9" t="e">
        <f>IF(W87=0,"",SUMIFS('Exit Log'!$N$5:$N$304,'Exit Log'!$A$5:$A$304,A87)/(W87*100))</f>
        <v>#VALUE!</v>
      </c>
      <c r="Z87" s="9" t="str">
        <f>IF(A87="","",SUMIFS('Exit Log'!$N$5:$N$304,'Exit Log'!$A$5:$A$304,A87))</f>
        <v/>
      </c>
      <c r="AA87" s="9" t="str">
        <f>IF(A87="","",SUMIFS('Exit Log'!$K$5:$K$304,'Exit Log'!$A$5:$A$304,A87))</f>
        <v/>
      </c>
      <c r="AB87" s="9" t="str">
        <f>IF(A87="","",SUMIFS('Exit Log'!$P$5:$P$304,'Exit Log'!$A$5:$A$304,A87))</f>
        <v/>
      </c>
      <c r="AC87" s="12" t="e">
        <f t="shared" si="18"/>
        <v>#VALUE!</v>
      </c>
      <c r="AD87" s="4" t="str">
        <f t="shared" si="19"/>
        <v/>
      </c>
      <c r="AE87" s="13">
        <f>IF(W87=0,"",LOOKUP(2,1/('Exit Log'!$A$5:$A$304=A87),'Exit Log'!$C$5:$C$304))</f>
        <v>0</v>
      </c>
      <c r="AF87" s="14">
        <f>IF(W87=0,"",LOOKUP(2,1/('Exit Log'!$A$5:$A$304=A87),'Exit Log'!$E$5:$E$304))</f>
        <v>0</v>
      </c>
      <c r="AG87" s="2"/>
      <c r="AH87" s="2"/>
      <c r="AI87" s="10"/>
      <c r="AJ87" s="2"/>
    </row>
    <row r="88" spans="1:36">
      <c r="A88" s="2"/>
      <c r="B88" s="3"/>
      <c r="C88" s="4" t="str">
        <f t="shared" si="14"/>
        <v/>
      </c>
      <c r="D88" s="5"/>
      <c r="E88" s="2"/>
      <c r="F88" s="2"/>
      <c r="G88" s="2"/>
      <c r="H88" s="2"/>
      <c r="I88" s="2"/>
      <c r="J88" s="2"/>
      <c r="K88" s="3"/>
      <c r="L88" s="4" t="str">
        <f t="shared" si="15"/>
        <v/>
      </c>
      <c r="M88" s="6"/>
      <c r="N88" s="2"/>
      <c r="O88" s="7"/>
      <c r="P88" s="8"/>
      <c r="Q88" s="8"/>
      <c r="R88" s="8"/>
      <c r="S88" s="9" t="str">
        <f t="shared" si="16"/>
        <v/>
      </c>
      <c r="T88" s="2"/>
      <c r="U88" s="10"/>
      <c r="V88" s="10"/>
      <c r="W88" s="11" t="str">
        <f>IF(A88="","",SUMIFS('Exit Log'!$I$5:$I$304,'Exit Log'!$A$5:$A$304,A88))</f>
        <v/>
      </c>
      <c r="X88" s="11" t="str">
        <f t="shared" si="17"/>
        <v/>
      </c>
      <c r="Y88" s="9" t="e">
        <f>IF(W88=0,"",SUMIFS('Exit Log'!$N$5:$N$304,'Exit Log'!$A$5:$A$304,A88)/(W88*100))</f>
        <v>#VALUE!</v>
      </c>
      <c r="Z88" s="9" t="str">
        <f>IF(A88="","",SUMIFS('Exit Log'!$N$5:$N$304,'Exit Log'!$A$5:$A$304,A88))</f>
        <v/>
      </c>
      <c r="AA88" s="9" t="str">
        <f>IF(A88="","",SUMIFS('Exit Log'!$K$5:$K$304,'Exit Log'!$A$5:$A$304,A88))</f>
        <v/>
      </c>
      <c r="AB88" s="9" t="str">
        <f>IF(A88="","",SUMIFS('Exit Log'!$P$5:$P$304,'Exit Log'!$A$5:$A$304,A88))</f>
        <v/>
      </c>
      <c r="AC88" s="12" t="e">
        <f t="shared" si="18"/>
        <v>#VALUE!</v>
      </c>
      <c r="AD88" s="4" t="str">
        <f t="shared" si="19"/>
        <v/>
      </c>
      <c r="AE88" s="13">
        <f>IF(W88=0,"",LOOKUP(2,1/('Exit Log'!$A$5:$A$304=A88),'Exit Log'!$C$5:$C$304))</f>
        <v>0</v>
      </c>
      <c r="AF88" s="14">
        <f>IF(W88=0,"",LOOKUP(2,1/('Exit Log'!$A$5:$A$304=A88),'Exit Log'!$E$5:$E$304))</f>
        <v>0</v>
      </c>
      <c r="AG88" s="2"/>
      <c r="AH88" s="2"/>
      <c r="AI88" s="10"/>
      <c r="AJ88" s="2"/>
    </row>
    <row r="89" spans="1:36">
      <c r="A89" s="2"/>
      <c r="B89" s="3"/>
      <c r="C89" s="4" t="str">
        <f t="shared" si="14"/>
        <v/>
      </c>
      <c r="D89" s="5"/>
      <c r="E89" s="2"/>
      <c r="F89" s="2"/>
      <c r="G89" s="2"/>
      <c r="H89" s="2"/>
      <c r="I89" s="2"/>
      <c r="J89" s="2"/>
      <c r="K89" s="3"/>
      <c r="L89" s="4" t="str">
        <f t="shared" si="15"/>
        <v/>
      </c>
      <c r="M89" s="6"/>
      <c r="N89" s="2"/>
      <c r="O89" s="7"/>
      <c r="P89" s="8"/>
      <c r="Q89" s="8"/>
      <c r="R89" s="8"/>
      <c r="S89" s="9" t="str">
        <f t="shared" si="16"/>
        <v/>
      </c>
      <c r="T89" s="2"/>
      <c r="U89" s="10"/>
      <c r="V89" s="10"/>
      <c r="W89" s="11" t="str">
        <f>IF(A89="","",SUMIFS('Exit Log'!$I$5:$I$304,'Exit Log'!$A$5:$A$304,A89))</f>
        <v/>
      </c>
      <c r="X89" s="11" t="str">
        <f t="shared" si="17"/>
        <v/>
      </c>
      <c r="Y89" s="9" t="e">
        <f>IF(W89=0,"",SUMIFS('Exit Log'!$N$5:$N$304,'Exit Log'!$A$5:$A$304,A89)/(W89*100))</f>
        <v>#VALUE!</v>
      </c>
      <c r="Z89" s="9" t="str">
        <f>IF(A89="","",SUMIFS('Exit Log'!$N$5:$N$304,'Exit Log'!$A$5:$A$304,A89))</f>
        <v/>
      </c>
      <c r="AA89" s="9" t="str">
        <f>IF(A89="","",SUMIFS('Exit Log'!$K$5:$K$304,'Exit Log'!$A$5:$A$304,A89))</f>
        <v/>
      </c>
      <c r="AB89" s="9" t="str">
        <f>IF(A89="","",SUMIFS('Exit Log'!$P$5:$P$304,'Exit Log'!$A$5:$A$304,A89))</f>
        <v/>
      </c>
      <c r="AC89" s="12" t="e">
        <f t="shared" si="18"/>
        <v>#VALUE!</v>
      </c>
      <c r="AD89" s="4" t="str">
        <f t="shared" si="19"/>
        <v/>
      </c>
      <c r="AE89" s="13">
        <f>IF(W89=0,"",LOOKUP(2,1/('Exit Log'!$A$5:$A$304=A89),'Exit Log'!$C$5:$C$304))</f>
        <v>0</v>
      </c>
      <c r="AF89" s="14">
        <f>IF(W89=0,"",LOOKUP(2,1/('Exit Log'!$A$5:$A$304=A89),'Exit Log'!$E$5:$E$304))</f>
        <v>0</v>
      </c>
      <c r="AG89" s="2"/>
      <c r="AH89" s="2"/>
      <c r="AI89" s="10"/>
      <c r="AJ89" s="2"/>
    </row>
    <row r="90" spans="1:36">
      <c r="A90" s="2"/>
      <c r="B90" s="3"/>
      <c r="C90" s="4" t="str">
        <f t="shared" si="14"/>
        <v/>
      </c>
      <c r="D90" s="5"/>
      <c r="E90" s="2"/>
      <c r="F90" s="2"/>
      <c r="G90" s="2"/>
      <c r="H90" s="2"/>
      <c r="I90" s="2"/>
      <c r="J90" s="2"/>
      <c r="K90" s="3"/>
      <c r="L90" s="4" t="str">
        <f t="shared" si="15"/>
        <v/>
      </c>
      <c r="M90" s="6"/>
      <c r="N90" s="2"/>
      <c r="O90" s="7"/>
      <c r="P90" s="8"/>
      <c r="Q90" s="8"/>
      <c r="R90" s="8"/>
      <c r="S90" s="9" t="str">
        <f t="shared" si="16"/>
        <v/>
      </c>
      <c r="T90" s="2"/>
      <c r="U90" s="10"/>
      <c r="V90" s="10"/>
      <c r="W90" s="11" t="str">
        <f>IF(A90="","",SUMIFS('Exit Log'!$I$5:$I$304,'Exit Log'!$A$5:$A$304,A90))</f>
        <v/>
      </c>
      <c r="X90" s="11" t="str">
        <f t="shared" si="17"/>
        <v/>
      </c>
      <c r="Y90" s="9" t="e">
        <f>IF(W90=0,"",SUMIFS('Exit Log'!$N$5:$N$304,'Exit Log'!$A$5:$A$304,A90)/(W90*100))</f>
        <v>#VALUE!</v>
      </c>
      <c r="Z90" s="9" t="str">
        <f>IF(A90="","",SUMIFS('Exit Log'!$N$5:$N$304,'Exit Log'!$A$5:$A$304,A90))</f>
        <v/>
      </c>
      <c r="AA90" s="9" t="str">
        <f>IF(A90="","",SUMIFS('Exit Log'!$K$5:$K$304,'Exit Log'!$A$5:$A$304,A90))</f>
        <v/>
      </c>
      <c r="AB90" s="9" t="str">
        <f>IF(A90="","",SUMIFS('Exit Log'!$P$5:$P$304,'Exit Log'!$A$5:$A$304,A90))</f>
        <v/>
      </c>
      <c r="AC90" s="12" t="e">
        <f t="shared" si="18"/>
        <v>#VALUE!</v>
      </c>
      <c r="AD90" s="4" t="str">
        <f t="shared" si="19"/>
        <v/>
      </c>
      <c r="AE90" s="13">
        <f>IF(W90=0,"",LOOKUP(2,1/('Exit Log'!$A$5:$A$304=A90),'Exit Log'!$C$5:$C$304))</f>
        <v>0</v>
      </c>
      <c r="AF90" s="14">
        <f>IF(W90=0,"",LOOKUP(2,1/('Exit Log'!$A$5:$A$304=A90),'Exit Log'!$E$5:$E$304))</f>
        <v>0</v>
      </c>
      <c r="AG90" s="2"/>
      <c r="AH90" s="2"/>
      <c r="AI90" s="10"/>
      <c r="AJ90" s="2"/>
    </row>
    <row r="91" spans="1:36">
      <c r="A91" s="2"/>
      <c r="B91" s="3"/>
      <c r="C91" s="4" t="str">
        <f t="shared" si="14"/>
        <v/>
      </c>
      <c r="D91" s="5"/>
      <c r="E91" s="2"/>
      <c r="F91" s="2"/>
      <c r="G91" s="2"/>
      <c r="H91" s="2"/>
      <c r="I91" s="2"/>
      <c r="J91" s="2"/>
      <c r="K91" s="3"/>
      <c r="L91" s="4" t="str">
        <f t="shared" si="15"/>
        <v/>
      </c>
      <c r="M91" s="6"/>
      <c r="N91" s="2"/>
      <c r="O91" s="7"/>
      <c r="P91" s="8"/>
      <c r="Q91" s="8"/>
      <c r="R91" s="8"/>
      <c r="S91" s="9" t="str">
        <f t="shared" si="16"/>
        <v/>
      </c>
      <c r="T91" s="2"/>
      <c r="U91" s="10"/>
      <c r="V91" s="10"/>
      <c r="W91" s="11" t="str">
        <f>IF(A91="","",SUMIFS('Exit Log'!$I$5:$I$304,'Exit Log'!$A$5:$A$304,A91))</f>
        <v/>
      </c>
      <c r="X91" s="11" t="str">
        <f t="shared" si="17"/>
        <v/>
      </c>
      <c r="Y91" s="9" t="e">
        <f>IF(W91=0,"",SUMIFS('Exit Log'!$N$5:$N$304,'Exit Log'!$A$5:$A$304,A91)/(W91*100))</f>
        <v>#VALUE!</v>
      </c>
      <c r="Z91" s="9" t="str">
        <f>IF(A91="","",SUMIFS('Exit Log'!$N$5:$N$304,'Exit Log'!$A$5:$A$304,A91))</f>
        <v/>
      </c>
      <c r="AA91" s="9" t="str">
        <f>IF(A91="","",SUMIFS('Exit Log'!$K$5:$K$304,'Exit Log'!$A$5:$A$304,A91))</f>
        <v/>
      </c>
      <c r="AB91" s="9" t="str">
        <f>IF(A91="","",SUMIFS('Exit Log'!$P$5:$P$304,'Exit Log'!$A$5:$A$304,A91))</f>
        <v/>
      </c>
      <c r="AC91" s="12" t="e">
        <f t="shared" si="18"/>
        <v>#VALUE!</v>
      </c>
      <c r="AD91" s="4" t="str">
        <f t="shared" si="19"/>
        <v/>
      </c>
      <c r="AE91" s="13">
        <f>IF(W91=0,"",LOOKUP(2,1/('Exit Log'!$A$5:$A$304=A91),'Exit Log'!$C$5:$C$304))</f>
        <v>0</v>
      </c>
      <c r="AF91" s="14">
        <f>IF(W91=0,"",LOOKUP(2,1/('Exit Log'!$A$5:$A$304=A91),'Exit Log'!$E$5:$E$304))</f>
        <v>0</v>
      </c>
      <c r="AG91" s="2"/>
      <c r="AH91" s="2"/>
      <c r="AI91" s="10"/>
      <c r="AJ91" s="2"/>
    </row>
    <row r="92" spans="1:36">
      <c r="A92" s="2"/>
      <c r="B92" s="3"/>
      <c r="C92" s="4" t="str">
        <f t="shared" si="14"/>
        <v/>
      </c>
      <c r="D92" s="5"/>
      <c r="E92" s="2"/>
      <c r="F92" s="2"/>
      <c r="G92" s="2"/>
      <c r="H92" s="2"/>
      <c r="I92" s="2"/>
      <c r="J92" s="2"/>
      <c r="K92" s="3"/>
      <c r="L92" s="4" t="str">
        <f t="shared" si="15"/>
        <v/>
      </c>
      <c r="M92" s="6"/>
      <c r="N92" s="2"/>
      <c r="O92" s="7"/>
      <c r="P92" s="8"/>
      <c r="Q92" s="8"/>
      <c r="R92" s="8"/>
      <c r="S92" s="9" t="str">
        <f t="shared" si="16"/>
        <v/>
      </c>
      <c r="T92" s="2"/>
      <c r="U92" s="10"/>
      <c r="V92" s="10"/>
      <c r="W92" s="11" t="str">
        <f>IF(A92="","",SUMIFS('Exit Log'!$I$5:$I$304,'Exit Log'!$A$5:$A$304,A92))</f>
        <v/>
      </c>
      <c r="X92" s="11" t="str">
        <f t="shared" si="17"/>
        <v/>
      </c>
      <c r="Y92" s="9" t="e">
        <f>IF(W92=0,"",SUMIFS('Exit Log'!$N$5:$N$304,'Exit Log'!$A$5:$A$304,A92)/(W92*100))</f>
        <v>#VALUE!</v>
      </c>
      <c r="Z92" s="9" t="str">
        <f>IF(A92="","",SUMIFS('Exit Log'!$N$5:$N$304,'Exit Log'!$A$5:$A$304,A92))</f>
        <v/>
      </c>
      <c r="AA92" s="9" t="str">
        <f>IF(A92="","",SUMIFS('Exit Log'!$K$5:$K$304,'Exit Log'!$A$5:$A$304,A92))</f>
        <v/>
      </c>
      <c r="AB92" s="9" t="str">
        <f>IF(A92="","",SUMIFS('Exit Log'!$P$5:$P$304,'Exit Log'!$A$5:$A$304,A92))</f>
        <v/>
      </c>
      <c r="AC92" s="12" t="e">
        <f t="shared" si="18"/>
        <v>#VALUE!</v>
      </c>
      <c r="AD92" s="4" t="str">
        <f t="shared" si="19"/>
        <v/>
      </c>
      <c r="AE92" s="13">
        <f>IF(W92=0,"",LOOKUP(2,1/('Exit Log'!$A$5:$A$304=A92),'Exit Log'!$C$5:$C$304))</f>
        <v>0</v>
      </c>
      <c r="AF92" s="14">
        <f>IF(W92=0,"",LOOKUP(2,1/('Exit Log'!$A$5:$A$304=A92),'Exit Log'!$E$5:$E$304))</f>
        <v>0</v>
      </c>
      <c r="AG92" s="2"/>
      <c r="AH92" s="2"/>
      <c r="AI92" s="10"/>
      <c r="AJ92" s="2"/>
    </row>
    <row r="93" spans="1:36">
      <c r="A93" s="2"/>
      <c r="B93" s="3"/>
      <c r="C93" s="4" t="str">
        <f t="shared" si="14"/>
        <v/>
      </c>
      <c r="D93" s="5"/>
      <c r="E93" s="2"/>
      <c r="F93" s="2"/>
      <c r="G93" s="2"/>
      <c r="H93" s="2"/>
      <c r="I93" s="2"/>
      <c r="J93" s="2"/>
      <c r="K93" s="3"/>
      <c r="L93" s="4" t="str">
        <f t="shared" si="15"/>
        <v/>
      </c>
      <c r="M93" s="6"/>
      <c r="N93" s="2"/>
      <c r="O93" s="7"/>
      <c r="P93" s="8"/>
      <c r="Q93" s="8"/>
      <c r="R93" s="8"/>
      <c r="S93" s="9" t="str">
        <f t="shared" si="16"/>
        <v/>
      </c>
      <c r="T93" s="2"/>
      <c r="U93" s="10"/>
      <c r="V93" s="10"/>
      <c r="W93" s="11" t="str">
        <f>IF(A93="","",SUMIFS('Exit Log'!$I$5:$I$304,'Exit Log'!$A$5:$A$304,A93))</f>
        <v/>
      </c>
      <c r="X93" s="11" t="str">
        <f t="shared" si="17"/>
        <v/>
      </c>
      <c r="Y93" s="9" t="e">
        <f>IF(W93=0,"",SUMIFS('Exit Log'!$N$5:$N$304,'Exit Log'!$A$5:$A$304,A93)/(W93*100))</f>
        <v>#VALUE!</v>
      </c>
      <c r="Z93" s="9" t="str">
        <f>IF(A93="","",SUMIFS('Exit Log'!$N$5:$N$304,'Exit Log'!$A$5:$A$304,A93))</f>
        <v/>
      </c>
      <c r="AA93" s="9" t="str">
        <f>IF(A93="","",SUMIFS('Exit Log'!$K$5:$K$304,'Exit Log'!$A$5:$A$304,A93))</f>
        <v/>
      </c>
      <c r="AB93" s="9" t="str">
        <f>IF(A93="","",SUMIFS('Exit Log'!$P$5:$P$304,'Exit Log'!$A$5:$A$304,A93))</f>
        <v/>
      </c>
      <c r="AC93" s="12" t="e">
        <f t="shared" si="18"/>
        <v>#VALUE!</v>
      </c>
      <c r="AD93" s="4" t="str">
        <f t="shared" si="19"/>
        <v/>
      </c>
      <c r="AE93" s="13">
        <f>IF(W93=0,"",LOOKUP(2,1/('Exit Log'!$A$5:$A$304=A93),'Exit Log'!$C$5:$C$304))</f>
        <v>0</v>
      </c>
      <c r="AF93" s="14">
        <f>IF(W93=0,"",LOOKUP(2,1/('Exit Log'!$A$5:$A$304=A93),'Exit Log'!$E$5:$E$304))</f>
        <v>0</v>
      </c>
      <c r="AG93" s="2"/>
      <c r="AH93" s="2"/>
      <c r="AI93" s="10"/>
      <c r="AJ93" s="2"/>
    </row>
    <row r="94" spans="1:36">
      <c r="A94" s="2"/>
      <c r="B94" s="3"/>
      <c r="C94" s="4" t="str">
        <f t="shared" si="14"/>
        <v/>
      </c>
      <c r="D94" s="5"/>
      <c r="E94" s="2"/>
      <c r="F94" s="2"/>
      <c r="G94" s="2"/>
      <c r="H94" s="2"/>
      <c r="I94" s="2"/>
      <c r="J94" s="2"/>
      <c r="K94" s="3"/>
      <c r="L94" s="4" t="str">
        <f t="shared" si="15"/>
        <v/>
      </c>
      <c r="M94" s="6"/>
      <c r="N94" s="2"/>
      <c r="O94" s="7"/>
      <c r="P94" s="8"/>
      <c r="Q94" s="8"/>
      <c r="R94" s="8"/>
      <c r="S94" s="9" t="str">
        <f t="shared" si="16"/>
        <v/>
      </c>
      <c r="T94" s="2"/>
      <c r="U94" s="10"/>
      <c r="V94" s="10"/>
      <c r="W94" s="11" t="str">
        <f>IF(A94="","",SUMIFS('Exit Log'!$I$5:$I$304,'Exit Log'!$A$5:$A$304,A94))</f>
        <v/>
      </c>
      <c r="X94" s="11" t="str">
        <f t="shared" si="17"/>
        <v/>
      </c>
      <c r="Y94" s="9" t="e">
        <f>IF(W94=0,"",SUMIFS('Exit Log'!$N$5:$N$304,'Exit Log'!$A$5:$A$304,A94)/(W94*100))</f>
        <v>#VALUE!</v>
      </c>
      <c r="Z94" s="9" t="str">
        <f>IF(A94="","",SUMIFS('Exit Log'!$N$5:$N$304,'Exit Log'!$A$5:$A$304,A94))</f>
        <v/>
      </c>
      <c r="AA94" s="9" t="str">
        <f>IF(A94="","",SUMIFS('Exit Log'!$K$5:$K$304,'Exit Log'!$A$5:$A$304,A94))</f>
        <v/>
      </c>
      <c r="AB94" s="9" t="str">
        <f>IF(A94="","",SUMIFS('Exit Log'!$P$5:$P$304,'Exit Log'!$A$5:$A$304,A94))</f>
        <v/>
      </c>
      <c r="AC94" s="12" t="e">
        <f t="shared" si="18"/>
        <v>#VALUE!</v>
      </c>
      <c r="AD94" s="4" t="str">
        <f t="shared" si="19"/>
        <v/>
      </c>
      <c r="AE94" s="13">
        <f>IF(W94=0,"",LOOKUP(2,1/('Exit Log'!$A$5:$A$304=A94),'Exit Log'!$C$5:$C$304))</f>
        <v>0</v>
      </c>
      <c r="AF94" s="14">
        <f>IF(W94=0,"",LOOKUP(2,1/('Exit Log'!$A$5:$A$304=A94),'Exit Log'!$E$5:$E$304))</f>
        <v>0</v>
      </c>
      <c r="AG94" s="2"/>
      <c r="AH94" s="2"/>
      <c r="AI94" s="10"/>
      <c r="AJ94" s="2"/>
    </row>
    <row r="95" spans="1:36">
      <c r="A95" s="2"/>
      <c r="B95" s="3"/>
      <c r="C95" s="4" t="str">
        <f t="shared" si="14"/>
        <v/>
      </c>
      <c r="D95" s="5"/>
      <c r="E95" s="2"/>
      <c r="F95" s="2"/>
      <c r="G95" s="2"/>
      <c r="H95" s="2"/>
      <c r="I95" s="2"/>
      <c r="J95" s="2"/>
      <c r="K95" s="3"/>
      <c r="L95" s="4" t="str">
        <f t="shared" si="15"/>
        <v/>
      </c>
      <c r="M95" s="6"/>
      <c r="N95" s="2"/>
      <c r="O95" s="7"/>
      <c r="P95" s="8"/>
      <c r="Q95" s="8"/>
      <c r="R95" s="8"/>
      <c r="S95" s="9" t="str">
        <f t="shared" si="16"/>
        <v/>
      </c>
      <c r="T95" s="2"/>
      <c r="U95" s="10"/>
      <c r="V95" s="10"/>
      <c r="W95" s="11" t="str">
        <f>IF(A95="","",SUMIFS('Exit Log'!$I$5:$I$304,'Exit Log'!$A$5:$A$304,A95))</f>
        <v/>
      </c>
      <c r="X95" s="11" t="str">
        <f t="shared" si="17"/>
        <v/>
      </c>
      <c r="Y95" s="9" t="e">
        <f>IF(W95=0,"",SUMIFS('Exit Log'!$N$5:$N$304,'Exit Log'!$A$5:$A$304,A95)/(W95*100))</f>
        <v>#VALUE!</v>
      </c>
      <c r="Z95" s="9" t="str">
        <f>IF(A95="","",SUMIFS('Exit Log'!$N$5:$N$304,'Exit Log'!$A$5:$A$304,A95))</f>
        <v/>
      </c>
      <c r="AA95" s="9" t="str">
        <f>IF(A95="","",SUMIFS('Exit Log'!$K$5:$K$304,'Exit Log'!$A$5:$A$304,A95))</f>
        <v/>
      </c>
      <c r="AB95" s="9" t="str">
        <f>IF(A95="","",SUMIFS('Exit Log'!$P$5:$P$304,'Exit Log'!$A$5:$A$304,A95))</f>
        <v/>
      </c>
      <c r="AC95" s="12" t="e">
        <f t="shared" si="18"/>
        <v>#VALUE!</v>
      </c>
      <c r="AD95" s="4" t="str">
        <f t="shared" si="19"/>
        <v/>
      </c>
      <c r="AE95" s="13">
        <f>IF(W95=0,"",LOOKUP(2,1/('Exit Log'!$A$5:$A$304=A95),'Exit Log'!$C$5:$C$304))</f>
        <v>0</v>
      </c>
      <c r="AF95" s="14">
        <f>IF(W95=0,"",LOOKUP(2,1/('Exit Log'!$A$5:$A$304=A95),'Exit Log'!$E$5:$E$304))</f>
        <v>0</v>
      </c>
      <c r="AG95" s="2"/>
      <c r="AH95" s="2"/>
      <c r="AI95" s="10"/>
      <c r="AJ95" s="2"/>
    </row>
    <row r="96" spans="1:36">
      <c r="A96" s="2"/>
      <c r="B96" s="3"/>
      <c r="C96" s="4" t="str">
        <f t="shared" si="14"/>
        <v/>
      </c>
      <c r="D96" s="5"/>
      <c r="E96" s="2"/>
      <c r="F96" s="2"/>
      <c r="G96" s="2"/>
      <c r="H96" s="2"/>
      <c r="I96" s="2"/>
      <c r="J96" s="2"/>
      <c r="K96" s="3"/>
      <c r="L96" s="4" t="str">
        <f t="shared" si="15"/>
        <v/>
      </c>
      <c r="M96" s="6"/>
      <c r="N96" s="2"/>
      <c r="O96" s="7"/>
      <c r="P96" s="8"/>
      <c r="Q96" s="8"/>
      <c r="R96" s="8"/>
      <c r="S96" s="9" t="str">
        <f t="shared" si="16"/>
        <v/>
      </c>
      <c r="T96" s="2"/>
      <c r="U96" s="10"/>
      <c r="V96" s="10"/>
      <c r="W96" s="11" t="str">
        <f>IF(A96="","",SUMIFS('Exit Log'!$I$5:$I$304,'Exit Log'!$A$5:$A$304,A96))</f>
        <v/>
      </c>
      <c r="X96" s="11" t="str">
        <f t="shared" si="17"/>
        <v/>
      </c>
      <c r="Y96" s="9" t="e">
        <f>IF(W96=0,"",SUMIFS('Exit Log'!$N$5:$N$304,'Exit Log'!$A$5:$A$304,A96)/(W96*100))</f>
        <v>#VALUE!</v>
      </c>
      <c r="Z96" s="9" t="str">
        <f>IF(A96="","",SUMIFS('Exit Log'!$N$5:$N$304,'Exit Log'!$A$5:$A$304,A96))</f>
        <v/>
      </c>
      <c r="AA96" s="9" t="str">
        <f>IF(A96="","",SUMIFS('Exit Log'!$K$5:$K$304,'Exit Log'!$A$5:$A$304,A96))</f>
        <v/>
      </c>
      <c r="AB96" s="9" t="str">
        <f>IF(A96="","",SUMIFS('Exit Log'!$P$5:$P$304,'Exit Log'!$A$5:$A$304,A96))</f>
        <v/>
      </c>
      <c r="AC96" s="12" t="e">
        <f t="shared" si="18"/>
        <v>#VALUE!</v>
      </c>
      <c r="AD96" s="4" t="str">
        <f t="shared" si="19"/>
        <v/>
      </c>
      <c r="AE96" s="13">
        <f>IF(W96=0,"",LOOKUP(2,1/('Exit Log'!$A$5:$A$304=A96),'Exit Log'!$C$5:$C$304))</f>
        <v>0</v>
      </c>
      <c r="AF96" s="14">
        <f>IF(W96=0,"",LOOKUP(2,1/('Exit Log'!$A$5:$A$304=A96),'Exit Log'!$E$5:$E$304))</f>
        <v>0</v>
      </c>
      <c r="AG96" s="2"/>
      <c r="AH96" s="2"/>
      <c r="AI96" s="10"/>
      <c r="AJ96" s="2"/>
    </row>
    <row r="97" spans="1:36">
      <c r="A97" s="2"/>
      <c r="B97" s="3"/>
      <c r="C97" s="4" t="str">
        <f t="shared" si="14"/>
        <v/>
      </c>
      <c r="D97" s="5"/>
      <c r="E97" s="2"/>
      <c r="F97" s="2"/>
      <c r="G97" s="2"/>
      <c r="H97" s="2"/>
      <c r="I97" s="2"/>
      <c r="J97" s="2"/>
      <c r="K97" s="3"/>
      <c r="L97" s="4" t="str">
        <f t="shared" si="15"/>
        <v/>
      </c>
      <c r="M97" s="6"/>
      <c r="N97" s="2"/>
      <c r="O97" s="7"/>
      <c r="P97" s="8"/>
      <c r="Q97" s="8"/>
      <c r="R97" s="8"/>
      <c r="S97" s="9" t="str">
        <f t="shared" si="16"/>
        <v/>
      </c>
      <c r="T97" s="2"/>
      <c r="U97" s="10"/>
      <c r="V97" s="10"/>
      <c r="W97" s="11" t="str">
        <f>IF(A97="","",SUMIFS('Exit Log'!$I$5:$I$304,'Exit Log'!$A$5:$A$304,A97))</f>
        <v/>
      </c>
      <c r="X97" s="11" t="str">
        <f t="shared" si="17"/>
        <v/>
      </c>
      <c r="Y97" s="9" t="e">
        <f>IF(W97=0,"",SUMIFS('Exit Log'!$N$5:$N$304,'Exit Log'!$A$5:$A$304,A97)/(W97*100))</f>
        <v>#VALUE!</v>
      </c>
      <c r="Z97" s="9" t="str">
        <f>IF(A97="","",SUMIFS('Exit Log'!$N$5:$N$304,'Exit Log'!$A$5:$A$304,A97))</f>
        <v/>
      </c>
      <c r="AA97" s="9" t="str">
        <f>IF(A97="","",SUMIFS('Exit Log'!$K$5:$K$304,'Exit Log'!$A$5:$A$304,A97))</f>
        <v/>
      </c>
      <c r="AB97" s="9" t="str">
        <f>IF(A97="","",SUMIFS('Exit Log'!$P$5:$P$304,'Exit Log'!$A$5:$A$304,A97))</f>
        <v/>
      </c>
      <c r="AC97" s="12" t="e">
        <f t="shared" si="18"/>
        <v>#VALUE!</v>
      </c>
      <c r="AD97" s="4" t="str">
        <f t="shared" si="19"/>
        <v/>
      </c>
      <c r="AE97" s="13">
        <f>IF(W97=0,"",LOOKUP(2,1/('Exit Log'!$A$5:$A$304=A97),'Exit Log'!$C$5:$C$304))</f>
        <v>0</v>
      </c>
      <c r="AF97" s="14">
        <f>IF(W97=0,"",LOOKUP(2,1/('Exit Log'!$A$5:$A$304=A97),'Exit Log'!$E$5:$E$304))</f>
        <v>0</v>
      </c>
      <c r="AG97" s="2"/>
      <c r="AH97" s="2"/>
      <c r="AI97" s="10"/>
      <c r="AJ97" s="2"/>
    </row>
    <row r="98" spans="1:36">
      <c r="A98" s="2"/>
      <c r="B98" s="3"/>
      <c r="C98" s="4" t="str">
        <f t="shared" si="14"/>
        <v/>
      </c>
      <c r="D98" s="5"/>
      <c r="E98" s="2"/>
      <c r="F98" s="2"/>
      <c r="G98" s="2"/>
      <c r="H98" s="2"/>
      <c r="I98" s="2"/>
      <c r="J98" s="2"/>
      <c r="K98" s="3"/>
      <c r="L98" s="4" t="str">
        <f t="shared" si="15"/>
        <v/>
      </c>
      <c r="M98" s="6"/>
      <c r="N98" s="2"/>
      <c r="O98" s="7"/>
      <c r="P98" s="8"/>
      <c r="Q98" s="8"/>
      <c r="R98" s="8"/>
      <c r="S98" s="9" t="str">
        <f t="shared" si="16"/>
        <v/>
      </c>
      <c r="T98" s="2"/>
      <c r="U98" s="10"/>
      <c r="V98" s="10"/>
      <c r="W98" s="11" t="str">
        <f>IF(A98="","",SUMIFS('Exit Log'!$I$5:$I$304,'Exit Log'!$A$5:$A$304,A98))</f>
        <v/>
      </c>
      <c r="X98" s="11" t="str">
        <f t="shared" si="17"/>
        <v/>
      </c>
      <c r="Y98" s="9" t="e">
        <f>IF(W98=0,"",SUMIFS('Exit Log'!$N$5:$N$304,'Exit Log'!$A$5:$A$304,A98)/(W98*100))</f>
        <v>#VALUE!</v>
      </c>
      <c r="Z98" s="9" t="str">
        <f>IF(A98="","",SUMIFS('Exit Log'!$N$5:$N$304,'Exit Log'!$A$5:$A$304,A98))</f>
        <v/>
      </c>
      <c r="AA98" s="9" t="str">
        <f>IF(A98="","",SUMIFS('Exit Log'!$K$5:$K$304,'Exit Log'!$A$5:$A$304,A98))</f>
        <v/>
      </c>
      <c r="AB98" s="9" t="str">
        <f>IF(A98="","",SUMIFS('Exit Log'!$P$5:$P$304,'Exit Log'!$A$5:$A$304,A98))</f>
        <v/>
      </c>
      <c r="AC98" s="12" t="e">
        <f t="shared" si="18"/>
        <v>#VALUE!</v>
      </c>
      <c r="AD98" s="4" t="str">
        <f t="shared" si="19"/>
        <v/>
      </c>
      <c r="AE98" s="13">
        <f>IF(W98=0,"",LOOKUP(2,1/('Exit Log'!$A$5:$A$304=A98),'Exit Log'!$C$5:$C$304))</f>
        <v>0</v>
      </c>
      <c r="AF98" s="14">
        <f>IF(W98=0,"",LOOKUP(2,1/('Exit Log'!$A$5:$A$304=A98),'Exit Log'!$E$5:$E$304))</f>
        <v>0</v>
      </c>
      <c r="AG98" s="2"/>
      <c r="AH98" s="2"/>
      <c r="AI98" s="10"/>
      <c r="AJ98" s="2"/>
    </row>
    <row r="99" spans="1:36">
      <c r="A99" s="2"/>
      <c r="B99" s="3"/>
      <c r="C99" s="4" t="str">
        <f t="shared" si="14"/>
        <v/>
      </c>
      <c r="D99" s="5"/>
      <c r="E99" s="2"/>
      <c r="F99" s="2"/>
      <c r="G99" s="2"/>
      <c r="H99" s="2"/>
      <c r="I99" s="2"/>
      <c r="J99" s="2"/>
      <c r="K99" s="3"/>
      <c r="L99" s="4" t="str">
        <f t="shared" si="15"/>
        <v/>
      </c>
      <c r="M99" s="6"/>
      <c r="N99" s="2"/>
      <c r="O99" s="7"/>
      <c r="P99" s="8"/>
      <c r="Q99" s="8"/>
      <c r="R99" s="8"/>
      <c r="S99" s="9" t="str">
        <f t="shared" si="16"/>
        <v/>
      </c>
      <c r="T99" s="2"/>
      <c r="U99" s="10"/>
      <c r="V99" s="10"/>
      <c r="W99" s="11" t="str">
        <f>IF(A99="","",SUMIFS('Exit Log'!$I$5:$I$304,'Exit Log'!$A$5:$A$304,A99))</f>
        <v/>
      </c>
      <c r="X99" s="11" t="str">
        <f t="shared" si="17"/>
        <v/>
      </c>
      <c r="Y99" s="9" t="e">
        <f>IF(W99=0,"",SUMIFS('Exit Log'!$N$5:$N$304,'Exit Log'!$A$5:$A$304,A99)/(W99*100))</f>
        <v>#VALUE!</v>
      </c>
      <c r="Z99" s="9" t="str">
        <f>IF(A99="","",SUMIFS('Exit Log'!$N$5:$N$304,'Exit Log'!$A$5:$A$304,A99))</f>
        <v/>
      </c>
      <c r="AA99" s="9" t="str">
        <f>IF(A99="","",SUMIFS('Exit Log'!$K$5:$K$304,'Exit Log'!$A$5:$A$304,A99))</f>
        <v/>
      </c>
      <c r="AB99" s="9" t="str">
        <f>IF(A99="","",SUMIFS('Exit Log'!$P$5:$P$304,'Exit Log'!$A$5:$A$304,A99))</f>
        <v/>
      </c>
      <c r="AC99" s="12" t="e">
        <f t="shared" si="18"/>
        <v>#VALUE!</v>
      </c>
      <c r="AD99" s="4" t="str">
        <f t="shared" si="19"/>
        <v/>
      </c>
      <c r="AE99" s="13">
        <f>IF(W99=0,"",LOOKUP(2,1/('Exit Log'!$A$5:$A$304=A99),'Exit Log'!$C$5:$C$304))</f>
        <v>0</v>
      </c>
      <c r="AF99" s="14">
        <f>IF(W99=0,"",LOOKUP(2,1/('Exit Log'!$A$5:$A$304=A99),'Exit Log'!$E$5:$E$304))</f>
        <v>0</v>
      </c>
      <c r="AG99" s="2"/>
      <c r="AH99" s="2"/>
      <c r="AI99" s="10"/>
      <c r="AJ99" s="2"/>
    </row>
    <row r="100" spans="1:36">
      <c r="A100" s="2"/>
      <c r="B100" s="3"/>
      <c r="C100" s="4" t="str">
        <f t="shared" si="14"/>
        <v/>
      </c>
      <c r="D100" s="5"/>
      <c r="E100" s="2"/>
      <c r="F100" s="2"/>
      <c r="G100" s="2"/>
      <c r="H100" s="2"/>
      <c r="I100" s="2"/>
      <c r="J100" s="2"/>
      <c r="K100" s="3"/>
      <c r="L100" s="4" t="str">
        <f t="shared" si="15"/>
        <v/>
      </c>
      <c r="M100" s="6"/>
      <c r="N100" s="2"/>
      <c r="O100" s="7"/>
      <c r="P100" s="8"/>
      <c r="Q100" s="8"/>
      <c r="R100" s="8"/>
      <c r="S100" s="9" t="str">
        <f t="shared" si="16"/>
        <v/>
      </c>
      <c r="T100" s="2"/>
      <c r="U100" s="10"/>
      <c r="V100" s="10"/>
      <c r="W100" s="11" t="str">
        <f>IF(A100="","",SUMIFS('Exit Log'!$I$5:$I$304,'Exit Log'!$A$5:$A$304,A100))</f>
        <v/>
      </c>
      <c r="X100" s="11" t="str">
        <f t="shared" si="17"/>
        <v/>
      </c>
      <c r="Y100" s="9" t="e">
        <f>IF(W100=0,"",SUMIFS('Exit Log'!$N$5:$N$304,'Exit Log'!$A$5:$A$304,A100)/(W100*100))</f>
        <v>#VALUE!</v>
      </c>
      <c r="Z100" s="9" t="str">
        <f>IF(A100="","",SUMIFS('Exit Log'!$N$5:$N$304,'Exit Log'!$A$5:$A$304,A100))</f>
        <v/>
      </c>
      <c r="AA100" s="9" t="str">
        <f>IF(A100="","",SUMIFS('Exit Log'!$K$5:$K$304,'Exit Log'!$A$5:$A$304,A100))</f>
        <v/>
      </c>
      <c r="AB100" s="9" t="str">
        <f>IF(A100="","",SUMIFS('Exit Log'!$P$5:$P$304,'Exit Log'!$A$5:$A$304,A100))</f>
        <v/>
      </c>
      <c r="AC100" s="12" t="e">
        <f t="shared" si="18"/>
        <v>#VALUE!</v>
      </c>
      <c r="AD100" s="4" t="str">
        <f t="shared" si="19"/>
        <v/>
      </c>
      <c r="AE100" s="13">
        <f>IF(W100=0,"",LOOKUP(2,1/('Exit Log'!$A$5:$A$304=A100),'Exit Log'!$C$5:$C$304))</f>
        <v>0</v>
      </c>
      <c r="AF100" s="14">
        <f>IF(W100=0,"",LOOKUP(2,1/('Exit Log'!$A$5:$A$304=A100),'Exit Log'!$E$5:$E$304))</f>
        <v>0</v>
      </c>
      <c r="AG100" s="2"/>
      <c r="AH100" s="2"/>
      <c r="AI100" s="10"/>
      <c r="AJ100" s="2"/>
    </row>
    <row r="101" spans="1:36">
      <c r="A101" s="2"/>
      <c r="B101" s="3"/>
      <c r="C101" s="4" t="str">
        <f t="shared" ref="C101:C132" si="20">IF(B101="","",TEXT(B101,"dddd"))</f>
        <v/>
      </c>
      <c r="D101" s="5"/>
      <c r="E101" s="2"/>
      <c r="F101" s="2"/>
      <c r="G101" s="2"/>
      <c r="H101" s="2"/>
      <c r="I101" s="2"/>
      <c r="J101" s="2"/>
      <c r="K101" s="3"/>
      <c r="L101" s="4" t="str">
        <f t="shared" ref="L101:L132" si="21">IF(OR(B101="",K101=""),"",K101-B101)</f>
        <v/>
      </c>
      <c r="M101" s="6"/>
      <c r="N101" s="2"/>
      <c r="O101" s="7"/>
      <c r="P101" s="8"/>
      <c r="Q101" s="8"/>
      <c r="R101" s="8"/>
      <c r="S101" s="9" t="str">
        <f t="shared" ref="S101:S132" si="22">IF(OR(O101="",P101=""),"",O101*P101*100+IF(Q101="",0,Q101))</f>
        <v/>
      </c>
      <c r="T101" s="2"/>
      <c r="U101" s="10"/>
      <c r="V101" s="10"/>
      <c r="W101" s="11" t="str">
        <f>IF(A101="","",SUMIFS('Exit Log'!$I$5:$I$304,'Exit Log'!$A$5:$A$304,A101))</f>
        <v/>
      </c>
      <c r="X101" s="11" t="str">
        <f t="shared" ref="X101:X132" si="23">IF(A101="","",O101-W101)</f>
        <v/>
      </c>
      <c r="Y101" s="9" t="e">
        <f>IF(W101=0,"",SUMIFS('Exit Log'!$N$5:$N$304,'Exit Log'!$A$5:$A$304,A101)/(W101*100))</f>
        <v>#VALUE!</v>
      </c>
      <c r="Z101" s="9" t="str">
        <f>IF(A101="","",SUMIFS('Exit Log'!$N$5:$N$304,'Exit Log'!$A$5:$A$304,A101))</f>
        <v/>
      </c>
      <c r="AA101" s="9" t="str">
        <f>IF(A101="","",SUMIFS('Exit Log'!$K$5:$K$304,'Exit Log'!$A$5:$A$304,A101))</f>
        <v/>
      </c>
      <c r="AB101" s="9" t="str">
        <f>IF(A101="","",SUMIFS('Exit Log'!$P$5:$P$304,'Exit Log'!$A$5:$A$304,A101))</f>
        <v/>
      </c>
      <c r="AC101" s="12" t="e">
        <f t="shared" ref="AC101:AC132" si="24">IF(W101=0,"",AB101/(W101*P101*100+IFERROR(Q101*W101/O101,0)))</f>
        <v>#VALUE!</v>
      </c>
      <c r="AD101" s="4" t="str">
        <f t="shared" ref="AD101:AD132" si="25">IF(A101="","",IF(W101=0,"Open",IF(X101=0,"Closed","Partially Trimmed")))</f>
        <v/>
      </c>
      <c r="AE101" s="13">
        <f>IF(W101=0,"",LOOKUP(2,1/('Exit Log'!$A$5:$A$304=A101),'Exit Log'!$C$5:$C$304))</f>
        <v>0</v>
      </c>
      <c r="AF101" s="14">
        <f>IF(W101=0,"",LOOKUP(2,1/('Exit Log'!$A$5:$A$304=A101),'Exit Log'!$E$5:$E$304))</f>
        <v>0</v>
      </c>
      <c r="AG101" s="2"/>
      <c r="AH101" s="2"/>
      <c r="AI101" s="10"/>
      <c r="AJ101" s="2"/>
    </row>
    <row r="102" spans="1:36">
      <c r="A102" s="2"/>
      <c r="B102" s="3"/>
      <c r="C102" s="4" t="str">
        <f t="shared" si="20"/>
        <v/>
      </c>
      <c r="D102" s="5"/>
      <c r="E102" s="2"/>
      <c r="F102" s="2"/>
      <c r="G102" s="2"/>
      <c r="H102" s="2"/>
      <c r="I102" s="2"/>
      <c r="J102" s="2"/>
      <c r="K102" s="3"/>
      <c r="L102" s="4" t="str">
        <f t="shared" si="21"/>
        <v/>
      </c>
      <c r="M102" s="6"/>
      <c r="N102" s="2"/>
      <c r="O102" s="7"/>
      <c r="P102" s="8"/>
      <c r="Q102" s="8"/>
      <c r="R102" s="8"/>
      <c r="S102" s="9" t="str">
        <f t="shared" si="22"/>
        <v/>
      </c>
      <c r="T102" s="2"/>
      <c r="U102" s="10"/>
      <c r="V102" s="10"/>
      <c r="W102" s="11" t="str">
        <f>IF(A102="","",SUMIFS('Exit Log'!$I$5:$I$304,'Exit Log'!$A$5:$A$304,A102))</f>
        <v/>
      </c>
      <c r="X102" s="11" t="str">
        <f t="shared" si="23"/>
        <v/>
      </c>
      <c r="Y102" s="9" t="e">
        <f>IF(W102=0,"",SUMIFS('Exit Log'!$N$5:$N$304,'Exit Log'!$A$5:$A$304,A102)/(W102*100))</f>
        <v>#VALUE!</v>
      </c>
      <c r="Z102" s="9" t="str">
        <f>IF(A102="","",SUMIFS('Exit Log'!$N$5:$N$304,'Exit Log'!$A$5:$A$304,A102))</f>
        <v/>
      </c>
      <c r="AA102" s="9" t="str">
        <f>IF(A102="","",SUMIFS('Exit Log'!$K$5:$K$304,'Exit Log'!$A$5:$A$304,A102))</f>
        <v/>
      </c>
      <c r="AB102" s="9" t="str">
        <f>IF(A102="","",SUMIFS('Exit Log'!$P$5:$P$304,'Exit Log'!$A$5:$A$304,A102))</f>
        <v/>
      </c>
      <c r="AC102" s="12" t="e">
        <f t="shared" si="24"/>
        <v>#VALUE!</v>
      </c>
      <c r="AD102" s="4" t="str">
        <f t="shared" si="25"/>
        <v/>
      </c>
      <c r="AE102" s="13">
        <f>IF(W102=0,"",LOOKUP(2,1/('Exit Log'!$A$5:$A$304=A102),'Exit Log'!$C$5:$C$304))</f>
        <v>0</v>
      </c>
      <c r="AF102" s="14">
        <f>IF(W102=0,"",LOOKUP(2,1/('Exit Log'!$A$5:$A$304=A102),'Exit Log'!$E$5:$E$304))</f>
        <v>0</v>
      </c>
      <c r="AG102" s="2"/>
      <c r="AH102" s="2"/>
      <c r="AI102" s="10"/>
      <c r="AJ102" s="2"/>
    </row>
    <row r="103" spans="1:36">
      <c r="A103" s="2"/>
      <c r="B103" s="3"/>
      <c r="C103" s="4" t="str">
        <f t="shared" si="20"/>
        <v/>
      </c>
      <c r="D103" s="5"/>
      <c r="E103" s="2"/>
      <c r="F103" s="2"/>
      <c r="G103" s="2"/>
      <c r="H103" s="2"/>
      <c r="I103" s="2"/>
      <c r="J103" s="2"/>
      <c r="K103" s="3"/>
      <c r="L103" s="4" t="str">
        <f t="shared" si="21"/>
        <v/>
      </c>
      <c r="M103" s="6"/>
      <c r="N103" s="2"/>
      <c r="O103" s="7"/>
      <c r="P103" s="8"/>
      <c r="Q103" s="8"/>
      <c r="R103" s="8"/>
      <c r="S103" s="9" t="str">
        <f t="shared" si="22"/>
        <v/>
      </c>
      <c r="T103" s="2"/>
      <c r="U103" s="10"/>
      <c r="V103" s="10"/>
      <c r="W103" s="11" t="str">
        <f>IF(A103="","",SUMIFS('Exit Log'!$I$5:$I$304,'Exit Log'!$A$5:$A$304,A103))</f>
        <v/>
      </c>
      <c r="X103" s="11" t="str">
        <f t="shared" si="23"/>
        <v/>
      </c>
      <c r="Y103" s="9" t="e">
        <f>IF(W103=0,"",SUMIFS('Exit Log'!$N$5:$N$304,'Exit Log'!$A$5:$A$304,A103)/(W103*100))</f>
        <v>#VALUE!</v>
      </c>
      <c r="Z103" s="9" t="str">
        <f>IF(A103="","",SUMIFS('Exit Log'!$N$5:$N$304,'Exit Log'!$A$5:$A$304,A103))</f>
        <v/>
      </c>
      <c r="AA103" s="9" t="str">
        <f>IF(A103="","",SUMIFS('Exit Log'!$K$5:$K$304,'Exit Log'!$A$5:$A$304,A103))</f>
        <v/>
      </c>
      <c r="AB103" s="9" t="str">
        <f>IF(A103="","",SUMIFS('Exit Log'!$P$5:$P$304,'Exit Log'!$A$5:$A$304,A103))</f>
        <v/>
      </c>
      <c r="AC103" s="12" t="e">
        <f t="shared" si="24"/>
        <v>#VALUE!</v>
      </c>
      <c r="AD103" s="4" t="str">
        <f t="shared" si="25"/>
        <v/>
      </c>
      <c r="AE103" s="13">
        <f>IF(W103=0,"",LOOKUP(2,1/('Exit Log'!$A$5:$A$304=A103),'Exit Log'!$C$5:$C$304))</f>
        <v>0</v>
      </c>
      <c r="AF103" s="14">
        <f>IF(W103=0,"",LOOKUP(2,1/('Exit Log'!$A$5:$A$304=A103),'Exit Log'!$E$5:$E$304))</f>
        <v>0</v>
      </c>
      <c r="AG103" s="2"/>
      <c r="AH103" s="2"/>
      <c r="AI103" s="10"/>
      <c r="AJ103" s="2"/>
    </row>
    <row r="104" spans="1:36">
      <c r="A104" s="2"/>
      <c r="B104" s="3"/>
      <c r="C104" s="4" t="str">
        <f t="shared" si="20"/>
        <v/>
      </c>
      <c r="D104" s="5"/>
      <c r="E104" s="2"/>
      <c r="F104" s="2"/>
      <c r="G104" s="2"/>
      <c r="H104" s="2"/>
      <c r="I104" s="2"/>
      <c r="J104" s="2"/>
      <c r="K104" s="3"/>
      <c r="L104" s="4" t="str">
        <f t="shared" si="21"/>
        <v/>
      </c>
      <c r="M104" s="6"/>
      <c r="N104" s="2"/>
      <c r="O104" s="7"/>
      <c r="P104" s="8"/>
      <c r="Q104" s="8"/>
      <c r="R104" s="8"/>
      <c r="S104" s="9" t="str">
        <f t="shared" si="22"/>
        <v/>
      </c>
      <c r="T104" s="2"/>
      <c r="U104" s="10"/>
      <c r="V104" s="10"/>
      <c r="W104" s="11" t="str">
        <f>IF(A104="","",SUMIFS('Exit Log'!$I$5:$I$304,'Exit Log'!$A$5:$A$304,A104))</f>
        <v/>
      </c>
      <c r="X104" s="11" t="str">
        <f t="shared" si="23"/>
        <v/>
      </c>
      <c r="Y104" s="9" t="e">
        <f>IF(W104=0,"",SUMIFS('Exit Log'!$N$5:$N$304,'Exit Log'!$A$5:$A$304,A104)/(W104*100))</f>
        <v>#VALUE!</v>
      </c>
      <c r="Z104" s="9" t="str">
        <f>IF(A104="","",SUMIFS('Exit Log'!$N$5:$N$304,'Exit Log'!$A$5:$A$304,A104))</f>
        <v/>
      </c>
      <c r="AA104" s="9" t="str">
        <f>IF(A104="","",SUMIFS('Exit Log'!$K$5:$K$304,'Exit Log'!$A$5:$A$304,A104))</f>
        <v/>
      </c>
      <c r="AB104" s="9" t="str">
        <f>IF(A104="","",SUMIFS('Exit Log'!$P$5:$P$304,'Exit Log'!$A$5:$A$304,A104))</f>
        <v/>
      </c>
      <c r="AC104" s="12" t="e">
        <f t="shared" si="24"/>
        <v>#VALUE!</v>
      </c>
      <c r="AD104" s="4" t="str">
        <f t="shared" si="25"/>
        <v/>
      </c>
      <c r="AE104" s="13">
        <f>IF(W104=0,"",LOOKUP(2,1/('Exit Log'!$A$5:$A$304=A104),'Exit Log'!$C$5:$C$304))</f>
        <v>0</v>
      </c>
      <c r="AF104" s="14">
        <f>IF(W104=0,"",LOOKUP(2,1/('Exit Log'!$A$5:$A$304=A104),'Exit Log'!$E$5:$E$304))</f>
        <v>0</v>
      </c>
      <c r="AG104" s="2"/>
      <c r="AH104" s="2"/>
      <c r="AI104" s="10"/>
      <c r="AJ104" s="2"/>
    </row>
    <row r="105" spans="1:36">
      <c r="A105" s="2"/>
      <c r="B105" s="3"/>
      <c r="C105" s="4" t="str">
        <f t="shared" si="20"/>
        <v/>
      </c>
      <c r="D105" s="5"/>
      <c r="E105" s="2"/>
      <c r="F105" s="2"/>
      <c r="G105" s="2"/>
      <c r="H105" s="2"/>
      <c r="I105" s="2"/>
      <c r="J105" s="2"/>
      <c r="K105" s="3"/>
      <c r="L105" s="4" t="str">
        <f t="shared" si="21"/>
        <v/>
      </c>
      <c r="M105" s="6"/>
      <c r="N105" s="2"/>
      <c r="O105" s="7"/>
      <c r="P105" s="8"/>
      <c r="Q105" s="8"/>
      <c r="R105" s="8"/>
      <c r="S105" s="9" t="str">
        <f t="shared" si="22"/>
        <v/>
      </c>
      <c r="T105" s="2"/>
      <c r="U105" s="10"/>
      <c r="V105" s="10"/>
      <c r="W105" s="11" t="str">
        <f>IF(A105="","",SUMIFS('Exit Log'!$I$5:$I$304,'Exit Log'!$A$5:$A$304,A105))</f>
        <v/>
      </c>
      <c r="X105" s="11" t="str">
        <f t="shared" si="23"/>
        <v/>
      </c>
      <c r="Y105" s="9" t="e">
        <f>IF(W105=0,"",SUMIFS('Exit Log'!$N$5:$N$304,'Exit Log'!$A$5:$A$304,A105)/(W105*100))</f>
        <v>#VALUE!</v>
      </c>
      <c r="Z105" s="9" t="str">
        <f>IF(A105="","",SUMIFS('Exit Log'!$N$5:$N$304,'Exit Log'!$A$5:$A$304,A105))</f>
        <v/>
      </c>
      <c r="AA105" s="9" t="str">
        <f>IF(A105="","",SUMIFS('Exit Log'!$K$5:$K$304,'Exit Log'!$A$5:$A$304,A105))</f>
        <v/>
      </c>
      <c r="AB105" s="9" t="str">
        <f>IF(A105="","",SUMIFS('Exit Log'!$P$5:$P$304,'Exit Log'!$A$5:$A$304,A105))</f>
        <v/>
      </c>
      <c r="AC105" s="12" t="e">
        <f t="shared" si="24"/>
        <v>#VALUE!</v>
      </c>
      <c r="AD105" s="4" t="str">
        <f t="shared" si="25"/>
        <v/>
      </c>
      <c r="AE105" s="13">
        <f>IF(W105=0,"",LOOKUP(2,1/('Exit Log'!$A$5:$A$304=A105),'Exit Log'!$C$5:$C$304))</f>
        <v>0</v>
      </c>
      <c r="AF105" s="14">
        <f>IF(W105=0,"",LOOKUP(2,1/('Exit Log'!$A$5:$A$304=A105),'Exit Log'!$E$5:$E$304))</f>
        <v>0</v>
      </c>
      <c r="AG105" s="2"/>
      <c r="AH105" s="2"/>
      <c r="AI105" s="10"/>
      <c r="AJ105" s="2"/>
    </row>
    <row r="106" spans="1:36">
      <c r="A106" s="2"/>
      <c r="B106" s="3"/>
      <c r="C106" s="4" t="str">
        <f t="shared" si="20"/>
        <v/>
      </c>
      <c r="D106" s="5"/>
      <c r="E106" s="2"/>
      <c r="F106" s="2"/>
      <c r="G106" s="2"/>
      <c r="H106" s="2"/>
      <c r="I106" s="2"/>
      <c r="J106" s="2"/>
      <c r="K106" s="3"/>
      <c r="L106" s="4" t="str">
        <f t="shared" si="21"/>
        <v/>
      </c>
      <c r="M106" s="6"/>
      <c r="N106" s="2"/>
      <c r="O106" s="7"/>
      <c r="P106" s="8"/>
      <c r="Q106" s="8"/>
      <c r="R106" s="8"/>
      <c r="S106" s="9" t="str">
        <f t="shared" si="22"/>
        <v/>
      </c>
      <c r="T106" s="2"/>
      <c r="U106" s="10"/>
      <c r="V106" s="10"/>
      <c r="W106" s="11" t="str">
        <f>IF(A106="","",SUMIFS('Exit Log'!$I$5:$I$304,'Exit Log'!$A$5:$A$304,A106))</f>
        <v/>
      </c>
      <c r="X106" s="11" t="str">
        <f t="shared" si="23"/>
        <v/>
      </c>
      <c r="Y106" s="9" t="e">
        <f>IF(W106=0,"",SUMIFS('Exit Log'!$N$5:$N$304,'Exit Log'!$A$5:$A$304,A106)/(W106*100))</f>
        <v>#VALUE!</v>
      </c>
      <c r="Z106" s="9" t="str">
        <f>IF(A106="","",SUMIFS('Exit Log'!$N$5:$N$304,'Exit Log'!$A$5:$A$304,A106))</f>
        <v/>
      </c>
      <c r="AA106" s="9" t="str">
        <f>IF(A106="","",SUMIFS('Exit Log'!$K$5:$K$304,'Exit Log'!$A$5:$A$304,A106))</f>
        <v/>
      </c>
      <c r="AB106" s="9" t="str">
        <f>IF(A106="","",SUMIFS('Exit Log'!$P$5:$P$304,'Exit Log'!$A$5:$A$304,A106))</f>
        <v/>
      </c>
      <c r="AC106" s="12" t="e">
        <f t="shared" si="24"/>
        <v>#VALUE!</v>
      </c>
      <c r="AD106" s="4" t="str">
        <f t="shared" si="25"/>
        <v/>
      </c>
      <c r="AE106" s="13">
        <f>IF(W106=0,"",LOOKUP(2,1/('Exit Log'!$A$5:$A$304=A106),'Exit Log'!$C$5:$C$304))</f>
        <v>0</v>
      </c>
      <c r="AF106" s="14">
        <f>IF(W106=0,"",LOOKUP(2,1/('Exit Log'!$A$5:$A$304=A106),'Exit Log'!$E$5:$E$304))</f>
        <v>0</v>
      </c>
      <c r="AG106" s="2"/>
      <c r="AH106" s="2"/>
      <c r="AI106" s="10"/>
      <c r="AJ106" s="2"/>
    </row>
    <row r="107" spans="1:36">
      <c r="A107" s="2"/>
      <c r="B107" s="3"/>
      <c r="C107" s="4" t="str">
        <f t="shared" si="20"/>
        <v/>
      </c>
      <c r="D107" s="5"/>
      <c r="E107" s="2"/>
      <c r="F107" s="2"/>
      <c r="G107" s="2"/>
      <c r="H107" s="2"/>
      <c r="I107" s="2"/>
      <c r="J107" s="2"/>
      <c r="K107" s="3"/>
      <c r="L107" s="4" t="str">
        <f t="shared" si="21"/>
        <v/>
      </c>
      <c r="M107" s="6"/>
      <c r="N107" s="2"/>
      <c r="O107" s="7"/>
      <c r="P107" s="8"/>
      <c r="Q107" s="8"/>
      <c r="R107" s="8"/>
      <c r="S107" s="9" t="str">
        <f t="shared" si="22"/>
        <v/>
      </c>
      <c r="T107" s="2"/>
      <c r="U107" s="10"/>
      <c r="V107" s="10"/>
      <c r="W107" s="11" t="str">
        <f>IF(A107="","",SUMIFS('Exit Log'!$I$5:$I$304,'Exit Log'!$A$5:$A$304,A107))</f>
        <v/>
      </c>
      <c r="X107" s="11" t="str">
        <f t="shared" si="23"/>
        <v/>
      </c>
      <c r="Y107" s="9" t="e">
        <f>IF(W107=0,"",SUMIFS('Exit Log'!$N$5:$N$304,'Exit Log'!$A$5:$A$304,A107)/(W107*100))</f>
        <v>#VALUE!</v>
      </c>
      <c r="Z107" s="9" t="str">
        <f>IF(A107="","",SUMIFS('Exit Log'!$N$5:$N$304,'Exit Log'!$A$5:$A$304,A107))</f>
        <v/>
      </c>
      <c r="AA107" s="9" t="str">
        <f>IF(A107="","",SUMIFS('Exit Log'!$K$5:$K$304,'Exit Log'!$A$5:$A$304,A107))</f>
        <v/>
      </c>
      <c r="AB107" s="9" t="str">
        <f>IF(A107="","",SUMIFS('Exit Log'!$P$5:$P$304,'Exit Log'!$A$5:$A$304,A107))</f>
        <v/>
      </c>
      <c r="AC107" s="12" t="e">
        <f t="shared" si="24"/>
        <v>#VALUE!</v>
      </c>
      <c r="AD107" s="4" t="str">
        <f t="shared" si="25"/>
        <v/>
      </c>
      <c r="AE107" s="13">
        <f>IF(W107=0,"",LOOKUP(2,1/('Exit Log'!$A$5:$A$304=A107),'Exit Log'!$C$5:$C$304))</f>
        <v>0</v>
      </c>
      <c r="AF107" s="14">
        <f>IF(W107=0,"",LOOKUP(2,1/('Exit Log'!$A$5:$A$304=A107),'Exit Log'!$E$5:$E$304))</f>
        <v>0</v>
      </c>
      <c r="AG107" s="2"/>
      <c r="AH107" s="2"/>
      <c r="AI107" s="10"/>
      <c r="AJ107" s="2"/>
    </row>
    <row r="108" spans="1:36">
      <c r="A108" s="2"/>
      <c r="B108" s="3"/>
      <c r="C108" s="4" t="str">
        <f t="shared" si="20"/>
        <v/>
      </c>
      <c r="D108" s="5"/>
      <c r="E108" s="2"/>
      <c r="F108" s="2"/>
      <c r="G108" s="2"/>
      <c r="H108" s="2"/>
      <c r="I108" s="2"/>
      <c r="J108" s="2"/>
      <c r="K108" s="3"/>
      <c r="L108" s="4" t="str">
        <f t="shared" si="21"/>
        <v/>
      </c>
      <c r="M108" s="6"/>
      <c r="N108" s="2"/>
      <c r="O108" s="7"/>
      <c r="P108" s="8"/>
      <c r="Q108" s="8"/>
      <c r="R108" s="8"/>
      <c r="S108" s="9" t="str">
        <f t="shared" si="22"/>
        <v/>
      </c>
      <c r="T108" s="2"/>
      <c r="U108" s="10"/>
      <c r="V108" s="10"/>
      <c r="W108" s="11" t="str">
        <f>IF(A108="","",SUMIFS('Exit Log'!$I$5:$I$304,'Exit Log'!$A$5:$A$304,A108))</f>
        <v/>
      </c>
      <c r="X108" s="11" t="str">
        <f t="shared" si="23"/>
        <v/>
      </c>
      <c r="Y108" s="9" t="e">
        <f>IF(W108=0,"",SUMIFS('Exit Log'!$N$5:$N$304,'Exit Log'!$A$5:$A$304,A108)/(W108*100))</f>
        <v>#VALUE!</v>
      </c>
      <c r="Z108" s="9" t="str">
        <f>IF(A108="","",SUMIFS('Exit Log'!$N$5:$N$304,'Exit Log'!$A$5:$A$304,A108))</f>
        <v/>
      </c>
      <c r="AA108" s="9" t="str">
        <f>IF(A108="","",SUMIFS('Exit Log'!$K$5:$K$304,'Exit Log'!$A$5:$A$304,A108))</f>
        <v/>
      </c>
      <c r="AB108" s="9" t="str">
        <f>IF(A108="","",SUMIFS('Exit Log'!$P$5:$P$304,'Exit Log'!$A$5:$A$304,A108))</f>
        <v/>
      </c>
      <c r="AC108" s="12" t="e">
        <f t="shared" si="24"/>
        <v>#VALUE!</v>
      </c>
      <c r="AD108" s="4" t="str">
        <f t="shared" si="25"/>
        <v/>
      </c>
      <c r="AE108" s="13">
        <f>IF(W108=0,"",LOOKUP(2,1/('Exit Log'!$A$5:$A$304=A108),'Exit Log'!$C$5:$C$304))</f>
        <v>0</v>
      </c>
      <c r="AF108" s="14">
        <f>IF(W108=0,"",LOOKUP(2,1/('Exit Log'!$A$5:$A$304=A108),'Exit Log'!$E$5:$E$304))</f>
        <v>0</v>
      </c>
      <c r="AG108" s="2"/>
      <c r="AH108" s="2"/>
      <c r="AI108" s="10"/>
      <c r="AJ108" s="2"/>
    </row>
    <row r="109" spans="1:36">
      <c r="A109" s="2"/>
      <c r="B109" s="3"/>
      <c r="C109" s="4" t="str">
        <f t="shared" si="20"/>
        <v/>
      </c>
      <c r="D109" s="5"/>
      <c r="E109" s="2"/>
      <c r="F109" s="2"/>
      <c r="G109" s="2"/>
      <c r="H109" s="2"/>
      <c r="I109" s="2"/>
      <c r="J109" s="2"/>
      <c r="K109" s="3"/>
      <c r="L109" s="4" t="str">
        <f t="shared" si="21"/>
        <v/>
      </c>
      <c r="M109" s="6"/>
      <c r="N109" s="2"/>
      <c r="O109" s="7"/>
      <c r="P109" s="8"/>
      <c r="Q109" s="8"/>
      <c r="R109" s="8"/>
      <c r="S109" s="9" t="str">
        <f t="shared" si="22"/>
        <v/>
      </c>
      <c r="T109" s="2"/>
      <c r="U109" s="10"/>
      <c r="V109" s="10"/>
      <c r="W109" s="11" t="str">
        <f>IF(A109="","",SUMIFS('Exit Log'!$I$5:$I$304,'Exit Log'!$A$5:$A$304,A109))</f>
        <v/>
      </c>
      <c r="X109" s="11" t="str">
        <f t="shared" si="23"/>
        <v/>
      </c>
      <c r="Y109" s="9" t="e">
        <f>IF(W109=0,"",SUMIFS('Exit Log'!$N$5:$N$304,'Exit Log'!$A$5:$A$304,A109)/(W109*100))</f>
        <v>#VALUE!</v>
      </c>
      <c r="Z109" s="9" t="str">
        <f>IF(A109="","",SUMIFS('Exit Log'!$N$5:$N$304,'Exit Log'!$A$5:$A$304,A109))</f>
        <v/>
      </c>
      <c r="AA109" s="9" t="str">
        <f>IF(A109="","",SUMIFS('Exit Log'!$K$5:$K$304,'Exit Log'!$A$5:$A$304,A109))</f>
        <v/>
      </c>
      <c r="AB109" s="9" t="str">
        <f>IF(A109="","",SUMIFS('Exit Log'!$P$5:$P$304,'Exit Log'!$A$5:$A$304,A109))</f>
        <v/>
      </c>
      <c r="AC109" s="12" t="e">
        <f t="shared" si="24"/>
        <v>#VALUE!</v>
      </c>
      <c r="AD109" s="4" t="str">
        <f t="shared" si="25"/>
        <v/>
      </c>
      <c r="AE109" s="13">
        <f>IF(W109=0,"",LOOKUP(2,1/('Exit Log'!$A$5:$A$304=A109),'Exit Log'!$C$5:$C$304))</f>
        <v>0</v>
      </c>
      <c r="AF109" s="14">
        <f>IF(W109=0,"",LOOKUP(2,1/('Exit Log'!$A$5:$A$304=A109),'Exit Log'!$E$5:$E$304))</f>
        <v>0</v>
      </c>
      <c r="AG109" s="2"/>
      <c r="AH109" s="2"/>
      <c r="AI109" s="10"/>
      <c r="AJ109" s="2"/>
    </row>
    <row r="110" spans="1:36">
      <c r="A110" s="2"/>
      <c r="B110" s="3"/>
      <c r="C110" s="4" t="str">
        <f t="shared" si="20"/>
        <v/>
      </c>
      <c r="D110" s="5"/>
      <c r="E110" s="2"/>
      <c r="F110" s="2"/>
      <c r="G110" s="2"/>
      <c r="H110" s="2"/>
      <c r="I110" s="2"/>
      <c r="J110" s="2"/>
      <c r="K110" s="3"/>
      <c r="L110" s="4" t="str">
        <f t="shared" si="21"/>
        <v/>
      </c>
      <c r="M110" s="6"/>
      <c r="N110" s="2"/>
      <c r="O110" s="7"/>
      <c r="P110" s="8"/>
      <c r="Q110" s="8"/>
      <c r="R110" s="8"/>
      <c r="S110" s="9" t="str">
        <f t="shared" si="22"/>
        <v/>
      </c>
      <c r="T110" s="2"/>
      <c r="U110" s="10"/>
      <c r="V110" s="10"/>
      <c r="W110" s="11" t="str">
        <f>IF(A110="","",SUMIFS('Exit Log'!$I$5:$I$304,'Exit Log'!$A$5:$A$304,A110))</f>
        <v/>
      </c>
      <c r="X110" s="11" t="str">
        <f t="shared" si="23"/>
        <v/>
      </c>
      <c r="Y110" s="9" t="e">
        <f>IF(W110=0,"",SUMIFS('Exit Log'!$N$5:$N$304,'Exit Log'!$A$5:$A$304,A110)/(W110*100))</f>
        <v>#VALUE!</v>
      </c>
      <c r="Z110" s="9" t="str">
        <f>IF(A110="","",SUMIFS('Exit Log'!$N$5:$N$304,'Exit Log'!$A$5:$A$304,A110))</f>
        <v/>
      </c>
      <c r="AA110" s="9" t="str">
        <f>IF(A110="","",SUMIFS('Exit Log'!$K$5:$K$304,'Exit Log'!$A$5:$A$304,A110))</f>
        <v/>
      </c>
      <c r="AB110" s="9" t="str">
        <f>IF(A110="","",SUMIFS('Exit Log'!$P$5:$P$304,'Exit Log'!$A$5:$A$304,A110))</f>
        <v/>
      </c>
      <c r="AC110" s="12" t="e">
        <f t="shared" si="24"/>
        <v>#VALUE!</v>
      </c>
      <c r="AD110" s="4" t="str">
        <f t="shared" si="25"/>
        <v/>
      </c>
      <c r="AE110" s="13">
        <f>IF(W110=0,"",LOOKUP(2,1/('Exit Log'!$A$5:$A$304=A110),'Exit Log'!$C$5:$C$304))</f>
        <v>0</v>
      </c>
      <c r="AF110" s="14">
        <f>IF(W110=0,"",LOOKUP(2,1/('Exit Log'!$A$5:$A$304=A110),'Exit Log'!$E$5:$E$304))</f>
        <v>0</v>
      </c>
      <c r="AG110" s="2"/>
      <c r="AH110" s="2"/>
      <c r="AI110" s="10"/>
      <c r="AJ110" s="2"/>
    </row>
    <row r="111" spans="1:36">
      <c r="A111" s="2"/>
      <c r="B111" s="3"/>
      <c r="C111" s="4" t="str">
        <f t="shared" si="20"/>
        <v/>
      </c>
      <c r="D111" s="5"/>
      <c r="E111" s="2"/>
      <c r="F111" s="2"/>
      <c r="G111" s="2"/>
      <c r="H111" s="2"/>
      <c r="I111" s="2"/>
      <c r="J111" s="2"/>
      <c r="K111" s="3"/>
      <c r="L111" s="4" t="str">
        <f t="shared" si="21"/>
        <v/>
      </c>
      <c r="M111" s="6"/>
      <c r="N111" s="2"/>
      <c r="O111" s="7"/>
      <c r="P111" s="8"/>
      <c r="Q111" s="8"/>
      <c r="R111" s="8"/>
      <c r="S111" s="9" t="str">
        <f t="shared" si="22"/>
        <v/>
      </c>
      <c r="T111" s="2"/>
      <c r="U111" s="10"/>
      <c r="V111" s="10"/>
      <c r="W111" s="11" t="str">
        <f>IF(A111="","",SUMIFS('Exit Log'!$I$5:$I$304,'Exit Log'!$A$5:$A$304,A111))</f>
        <v/>
      </c>
      <c r="X111" s="11" t="str">
        <f t="shared" si="23"/>
        <v/>
      </c>
      <c r="Y111" s="9" t="e">
        <f>IF(W111=0,"",SUMIFS('Exit Log'!$N$5:$N$304,'Exit Log'!$A$5:$A$304,A111)/(W111*100))</f>
        <v>#VALUE!</v>
      </c>
      <c r="Z111" s="9" t="str">
        <f>IF(A111="","",SUMIFS('Exit Log'!$N$5:$N$304,'Exit Log'!$A$5:$A$304,A111))</f>
        <v/>
      </c>
      <c r="AA111" s="9" t="str">
        <f>IF(A111="","",SUMIFS('Exit Log'!$K$5:$K$304,'Exit Log'!$A$5:$A$304,A111))</f>
        <v/>
      </c>
      <c r="AB111" s="9" t="str">
        <f>IF(A111="","",SUMIFS('Exit Log'!$P$5:$P$304,'Exit Log'!$A$5:$A$304,A111))</f>
        <v/>
      </c>
      <c r="AC111" s="12" t="e">
        <f t="shared" si="24"/>
        <v>#VALUE!</v>
      </c>
      <c r="AD111" s="4" t="str">
        <f t="shared" si="25"/>
        <v/>
      </c>
      <c r="AE111" s="13">
        <f>IF(W111=0,"",LOOKUP(2,1/('Exit Log'!$A$5:$A$304=A111),'Exit Log'!$C$5:$C$304))</f>
        <v>0</v>
      </c>
      <c r="AF111" s="14">
        <f>IF(W111=0,"",LOOKUP(2,1/('Exit Log'!$A$5:$A$304=A111),'Exit Log'!$E$5:$E$304))</f>
        <v>0</v>
      </c>
      <c r="AG111" s="2"/>
      <c r="AH111" s="2"/>
      <c r="AI111" s="10"/>
      <c r="AJ111" s="2"/>
    </row>
    <row r="112" spans="1:36">
      <c r="A112" s="2"/>
      <c r="B112" s="3"/>
      <c r="C112" s="4" t="str">
        <f t="shared" si="20"/>
        <v/>
      </c>
      <c r="D112" s="5"/>
      <c r="E112" s="2"/>
      <c r="F112" s="2"/>
      <c r="G112" s="2"/>
      <c r="H112" s="2"/>
      <c r="I112" s="2"/>
      <c r="J112" s="2"/>
      <c r="K112" s="3"/>
      <c r="L112" s="4" t="str">
        <f t="shared" si="21"/>
        <v/>
      </c>
      <c r="M112" s="6"/>
      <c r="N112" s="2"/>
      <c r="O112" s="7"/>
      <c r="P112" s="8"/>
      <c r="Q112" s="8"/>
      <c r="R112" s="8"/>
      <c r="S112" s="9" t="str">
        <f t="shared" si="22"/>
        <v/>
      </c>
      <c r="T112" s="2"/>
      <c r="U112" s="10"/>
      <c r="V112" s="10"/>
      <c r="W112" s="11" t="str">
        <f>IF(A112="","",SUMIFS('Exit Log'!$I$5:$I$304,'Exit Log'!$A$5:$A$304,A112))</f>
        <v/>
      </c>
      <c r="X112" s="11" t="str">
        <f t="shared" si="23"/>
        <v/>
      </c>
      <c r="Y112" s="9" t="e">
        <f>IF(W112=0,"",SUMIFS('Exit Log'!$N$5:$N$304,'Exit Log'!$A$5:$A$304,A112)/(W112*100))</f>
        <v>#VALUE!</v>
      </c>
      <c r="Z112" s="9" t="str">
        <f>IF(A112="","",SUMIFS('Exit Log'!$N$5:$N$304,'Exit Log'!$A$5:$A$304,A112))</f>
        <v/>
      </c>
      <c r="AA112" s="9" t="str">
        <f>IF(A112="","",SUMIFS('Exit Log'!$K$5:$K$304,'Exit Log'!$A$5:$A$304,A112))</f>
        <v/>
      </c>
      <c r="AB112" s="9" t="str">
        <f>IF(A112="","",SUMIFS('Exit Log'!$P$5:$P$304,'Exit Log'!$A$5:$A$304,A112))</f>
        <v/>
      </c>
      <c r="AC112" s="12" t="e">
        <f t="shared" si="24"/>
        <v>#VALUE!</v>
      </c>
      <c r="AD112" s="4" t="str">
        <f t="shared" si="25"/>
        <v/>
      </c>
      <c r="AE112" s="13">
        <f>IF(W112=0,"",LOOKUP(2,1/('Exit Log'!$A$5:$A$304=A112),'Exit Log'!$C$5:$C$304))</f>
        <v>0</v>
      </c>
      <c r="AF112" s="14">
        <f>IF(W112=0,"",LOOKUP(2,1/('Exit Log'!$A$5:$A$304=A112),'Exit Log'!$E$5:$E$304))</f>
        <v>0</v>
      </c>
      <c r="AG112" s="2"/>
      <c r="AH112" s="2"/>
      <c r="AI112" s="10"/>
      <c r="AJ112" s="2"/>
    </row>
    <row r="113" spans="1:36">
      <c r="A113" s="2"/>
      <c r="B113" s="3"/>
      <c r="C113" s="4" t="str">
        <f t="shared" si="20"/>
        <v/>
      </c>
      <c r="D113" s="5"/>
      <c r="E113" s="2"/>
      <c r="F113" s="2"/>
      <c r="G113" s="2"/>
      <c r="H113" s="2"/>
      <c r="I113" s="2"/>
      <c r="J113" s="2"/>
      <c r="K113" s="3"/>
      <c r="L113" s="4" t="str">
        <f t="shared" si="21"/>
        <v/>
      </c>
      <c r="M113" s="6"/>
      <c r="N113" s="2"/>
      <c r="O113" s="7"/>
      <c r="P113" s="8"/>
      <c r="Q113" s="8"/>
      <c r="R113" s="8"/>
      <c r="S113" s="9" t="str">
        <f t="shared" si="22"/>
        <v/>
      </c>
      <c r="T113" s="2"/>
      <c r="U113" s="10"/>
      <c r="V113" s="10"/>
      <c r="W113" s="11" t="str">
        <f>IF(A113="","",SUMIFS('Exit Log'!$I$5:$I$304,'Exit Log'!$A$5:$A$304,A113))</f>
        <v/>
      </c>
      <c r="X113" s="11" t="str">
        <f t="shared" si="23"/>
        <v/>
      </c>
      <c r="Y113" s="9" t="e">
        <f>IF(W113=0,"",SUMIFS('Exit Log'!$N$5:$N$304,'Exit Log'!$A$5:$A$304,A113)/(W113*100))</f>
        <v>#VALUE!</v>
      </c>
      <c r="Z113" s="9" t="str">
        <f>IF(A113="","",SUMIFS('Exit Log'!$N$5:$N$304,'Exit Log'!$A$5:$A$304,A113))</f>
        <v/>
      </c>
      <c r="AA113" s="9" t="str">
        <f>IF(A113="","",SUMIFS('Exit Log'!$K$5:$K$304,'Exit Log'!$A$5:$A$304,A113))</f>
        <v/>
      </c>
      <c r="AB113" s="9" t="str">
        <f>IF(A113="","",SUMIFS('Exit Log'!$P$5:$P$304,'Exit Log'!$A$5:$A$304,A113))</f>
        <v/>
      </c>
      <c r="AC113" s="12" t="e">
        <f t="shared" si="24"/>
        <v>#VALUE!</v>
      </c>
      <c r="AD113" s="4" t="str">
        <f t="shared" si="25"/>
        <v/>
      </c>
      <c r="AE113" s="13">
        <f>IF(W113=0,"",LOOKUP(2,1/('Exit Log'!$A$5:$A$304=A113),'Exit Log'!$C$5:$C$304))</f>
        <v>0</v>
      </c>
      <c r="AF113" s="14">
        <f>IF(W113=0,"",LOOKUP(2,1/('Exit Log'!$A$5:$A$304=A113),'Exit Log'!$E$5:$E$304))</f>
        <v>0</v>
      </c>
      <c r="AG113" s="2"/>
      <c r="AH113" s="2"/>
      <c r="AI113" s="10"/>
      <c r="AJ113" s="2"/>
    </row>
    <row r="114" spans="1:36">
      <c r="A114" s="2"/>
      <c r="B114" s="3"/>
      <c r="C114" s="4" t="str">
        <f t="shared" si="20"/>
        <v/>
      </c>
      <c r="D114" s="5"/>
      <c r="E114" s="2"/>
      <c r="F114" s="2"/>
      <c r="G114" s="2"/>
      <c r="H114" s="2"/>
      <c r="I114" s="2"/>
      <c r="J114" s="2"/>
      <c r="K114" s="3"/>
      <c r="L114" s="4" t="str">
        <f t="shared" si="21"/>
        <v/>
      </c>
      <c r="M114" s="6"/>
      <c r="N114" s="2"/>
      <c r="O114" s="7"/>
      <c r="P114" s="8"/>
      <c r="Q114" s="8"/>
      <c r="R114" s="8"/>
      <c r="S114" s="9" t="str">
        <f t="shared" si="22"/>
        <v/>
      </c>
      <c r="T114" s="2"/>
      <c r="U114" s="10"/>
      <c r="V114" s="10"/>
      <c r="W114" s="11" t="str">
        <f>IF(A114="","",SUMIFS('Exit Log'!$I$5:$I$304,'Exit Log'!$A$5:$A$304,A114))</f>
        <v/>
      </c>
      <c r="X114" s="11" t="str">
        <f t="shared" si="23"/>
        <v/>
      </c>
      <c r="Y114" s="9" t="e">
        <f>IF(W114=0,"",SUMIFS('Exit Log'!$N$5:$N$304,'Exit Log'!$A$5:$A$304,A114)/(W114*100))</f>
        <v>#VALUE!</v>
      </c>
      <c r="Z114" s="9" t="str">
        <f>IF(A114="","",SUMIFS('Exit Log'!$N$5:$N$304,'Exit Log'!$A$5:$A$304,A114))</f>
        <v/>
      </c>
      <c r="AA114" s="9" t="str">
        <f>IF(A114="","",SUMIFS('Exit Log'!$K$5:$K$304,'Exit Log'!$A$5:$A$304,A114))</f>
        <v/>
      </c>
      <c r="AB114" s="9" t="str">
        <f>IF(A114="","",SUMIFS('Exit Log'!$P$5:$P$304,'Exit Log'!$A$5:$A$304,A114))</f>
        <v/>
      </c>
      <c r="AC114" s="12" t="e">
        <f t="shared" si="24"/>
        <v>#VALUE!</v>
      </c>
      <c r="AD114" s="4" t="str">
        <f t="shared" si="25"/>
        <v/>
      </c>
      <c r="AE114" s="13">
        <f>IF(W114=0,"",LOOKUP(2,1/('Exit Log'!$A$5:$A$304=A114),'Exit Log'!$C$5:$C$304))</f>
        <v>0</v>
      </c>
      <c r="AF114" s="14">
        <f>IF(W114=0,"",LOOKUP(2,1/('Exit Log'!$A$5:$A$304=A114),'Exit Log'!$E$5:$E$304))</f>
        <v>0</v>
      </c>
      <c r="AG114" s="2"/>
      <c r="AH114" s="2"/>
      <c r="AI114" s="10"/>
      <c r="AJ114" s="2"/>
    </row>
    <row r="115" spans="1:36">
      <c r="A115" s="2"/>
      <c r="B115" s="3"/>
      <c r="C115" s="4" t="str">
        <f t="shared" si="20"/>
        <v/>
      </c>
      <c r="D115" s="5"/>
      <c r="E115" s="2"/>
      <c r="F115" s="2"/>
      <c r="G115" s="2"/>
      <c r="H115" s="2"/>
      <c r="I115" s="2"/>
      <c r="J115" s="2"/>
      <c r="K115" s="3"/>
      <c r="L115" s="4" t="str">
        <f t="shared" si="21"/>
        <v/>
      </c>
      <c r="M115" s="6"/>
      <c r="N115" s="2"/>
      <c r="O115" s="7"/>
      <c r="P115" s="8"/>
      <c r="Q115" s="8"/>
      <c r="R115" s="8"/>
      <c r="S115" s="9" t="str">
        <f t="shared" si="22"/>
        <v/>
      </c>
      <c r="T115" s="2"/>
      <c r="U115" s="10"/>
      <c r="V115" s="10"/>
      <c r="W115" s="11" t="str">
        <f>IF(A115="","",SUMIFS('Exit Log'!$I$5:$I$304,'Exit Log'!$A$5:$A$304,A115))</f>
        <v/>
      </c>
      <c r="X115" s="11" t="str">
        <f t="shared" si="23"/>
        <v/>
      </c>
      <c r="Y115" s="9" t="e">
        <f>IF(W115=0,"",SUMIFS('Exit Log'!$N$5:$N$304,'Exit Log'!$A$5:$A$304,A115)/(W115*100))</f>
        <v>#VALUE!</v>
      </c>
      <c r="Z115" s="9" t="str">
        <f>IF(A115="","",SUMIFS('Exit Log'!$N$5:$N$304,'Exit Log'!$A$5:$A$304,A115))</f>
        <v/>
      </c>
      <c r="AA115" s="9" t="str">
        <f>IF(A115="","",SUMIFS('Exit Log'!$K$5:$K$304,'Exit Log'!$A$5:$A$304,A115))</f>
        <v/>
      </c>
      <c r="AB115" s="9" t="str">
        <f>IF(A115="","",SUMIFS('Exit Log'!$P$5:$P$304,'Exit Log'!$A$5:$A$304,A115))</f>
        <v/>
      </c>
      <c r="AC115" s="12" t="e">
        <f t="shared" si="24"/>
        <v>#VALUE!</v>
      </c>
      <c r="AD115" s="4" t="str">
        <f t="shared" si="25"/>
        <v/>
      </c>
      <c r="AE115" s="13">
        <f>IF(W115=0,"",LOOKUP(2,1/('Exit Log'!$A$5:$A$304=A115),'Exit Log'!$C$5:$C$304))</f>
        <v>0</v>
      </c>
      <c r="AF115" s="14">
        <f>IF(W115=0,"",LOOKUP(2,1/('Exit Log'!$A$5:$A$304=A115),'Exit Log'!$E$5:$E$304))</f>
        <v>0</v>
      </c>
      <c r="AG115" s="2"/>
      <c r="AH115" s="2"/>
      <c r="AI115" s="10"/>
      <c r="AJ115" s="2"/>
    </row>
    <row r="116" spans="1:36">
      <c r="A116" s="2"/>
      <c r="B116" s="3"/>
      <c r="C116" s="4" t="str">
        <f t="shared" si="20"/>
        <v/>
      </c>
      <c r="D116" s="5"/>
      <c r="E116" s="2"/>
      <c r="F116" s="2"/>
      <c r="G116" s="2"/>
      <c r="H116" s="2"/>
      <c r="I116" s="2"/>
      <c r="J116" s="2"/>
      <c r="K116" s="3"/>
      <c r="L116" s="4" t="str">
        <f t="shared" si="21"/>
        <v/>
      </c>
      <c r="M116" s="6"/>
      <c r="N116" s="2"/>
      <c r="O116" s="7"/>
      <c r="P116" s="8"/>
      <c r="Q116" s="8"/>
      <c r="R116" s="8"/>
      <c r="S116" s="9" t="str">
        <f t="shared" si="22"/>
        <v/>
      </c>
      <c r="T116" s="2"/>
      <c r="U116" s="10"/>
      <c r="V116" s="10"/>
      <c r="W116" s="11" t="str">
        <f>IF(A116="","",SUMIFS('Exit Log'!$I$5:$I$304,'Exit Log'!$A$5:$A$304,A116))</f>
        <v/>
      </c>
      <c r="X116" s="11" t="str">
        <f t="shared" si="23"/>
        <v/>
      </c>
      <c r="Y116" s="9" t="e">
        <f>IF(W116=0,"",SUMIFS('Exit Log'!$N$5:$N$304,'Exit Log'!$A$5:$A$304,A116)/(W116*100))</f>
        <v>#VALUE!</v>
      </c>
      <c r="Z116" s="9" t="str">
        <f>IF(A116="","",SUMIFS('Exit Log'!$N$5:$N$304,'Exit Log'!$A$5:$A$304,A116))</f>
        <v/>
      </c>
      <c r="AA116" s="9" t="str">
        <f>IF(A116="","",SUMIFS('Exit Log'!$K$5:$K$304,'Exit Log'!$A$5:$A$304,A116))</f>
        <v/>
      </c>
      <c r="AB116" s="9" t="str">
        <f>IF(A116="","",SUMIFS('Exit Log'!$P$5:$P$304,'Exit Log'!$A$5:$A$304,A116))</f>
        <v/>
      </c>
      <c r="AC116" s="12" t="e">
        <f t="shared" si="24"/>
        <v>#VALUE!</v>
      </c>
      <c r="AD116" s="4" t="str">
        <f t="shared" si="25"/>
        <v/>
      </c>
      <c r="AE116" s="13">
        <f>IF(W116=0,"",LOOKUP(2,1/('Exit Log'!$A$5:$A$304=A116),'Exit Log'!$C$5:$C$304))</f>
        <v>0</v>
      </c>
      <c r="AF116" s="14">
        <f>IF(W116=0,"",LOOKUP(2,1/('Exit Log'!$A$5:$A$304=A116),'Exit Log'!$E$5:$E$304))</f>
        <v>0</v>
      </c>
      <c r="AG116" s="2"/>
      <c r="AH116" s="2"/>
      <c r="AI116" s="10"/>
      <c r="AJ116" s="2"/>
    </row>
    <row r="117" spans="1:36">
      <c r="A117" s="2"/>
      <c r="B117" s="3"/>
      <c r="C117" s="4" t="str">
        <f t="shared" si="20"/>
        <v/>
      </c>
      <c r="D117" s="5"/>
      <c r="E117" s="2"/>
      <c r="F117" s="2"/>
      <c r="G117" s="2"/>
      <c r="H117" s="2"/>
      <c r="I117" s="2"/>
      <c r="J117" s="2"/>
      <c r="K117" s="3"/>
      <c r="L117" s="4" t="str">
        <f t="shared" si="21"/>
        <v/>
      </c>
      <c r="M117" s="6"/>
      <c r="N117" s="2"/>
      <c r="O117" s="7"/>
      <c r="P117" s="8"/>
      <c r="Q117" s="8"/>
      <c r="R117" s="8"/>
      <c r="S117" s="9" t="str">
        <f t="shared" si="22"/>
        <v/>
      </c>
      <c r="T117" s="2"/>
      <c r="U117" s="10"/>
      <c r="V117" s="10"/>
      <c r="W117" s="11" t="str">
        <f>IF(A117="","",SUMIFS('Exit Log'!$I$5:$I$304,'Exit Log'!$A$5:$A$304,A117))</f>
        <v/>
      </c>
      <c r="X117" s="11" t="str">
        <f t="shared" si="23"/>
        <v/>
      </c>
      <c r="Y117" s="9" t="e">
        <f>IF(W117=0,"",SUMIFS('Exit Log'!$N$5:$N$304,'Exit Log'!$A$5:$A$304,A117)/(W117*100))</f>
        <v>#VALUE!</v>
      </c>
      <c r="Z117" s="9" t="str">
        <f>IF(A117="","",SUMIFS('Exit Log'!$N$5:$N$304,'Exit Log'!$A$5:$A$304,A117))</f>
        <v/>
      </c>
      <c r="AA117" s="9" t="str">
        <f>IF(A117="","",SUMIFS('Exit Log'!$K$5:$K$304,'Exit Log'!$A$5:$A$304,A117))</f>
        <v/>
      </c>
      <c r="AB117" s="9" t="str">
        <f>IF(A117="","",SUMIFS('Exit Log'!$P$5:$P$304,'Exit Log'!$A$5:$A$304,A117))</f>
        <v/>
      </c>
      <c r="AC117" s="12" t="e">
        <f t="shared" si="24"/>
        <v>#VALUE!</v>
      </c>
      <c r="AD117" s="4" t="str">
        <f t="shared" si="25"/>
        <v/>
      </c>
      <c r="AE117" s="13">
        <f>IF(W117=0,"",LOOKUP(2,1/('Exit Log'!$A$5:$A$304=A117),'Exit Log'!$C$5:$C$304))</f>
        <v>0</v>
      </c>
      <c r="AF117" s="14">
        <f>IF(W117=0,"",LOOKUP(2,1/('Exit Log'!$A$5:$A$304=A117),'Exit Log'!$E$5:$E$304))</f>
        <v>0</v>
      </c>
      <c r="AG117" s="2"/>
      <c r="AH117" s="2"/>
      <c r="AI117" s="10"/>
      <c r="AJ117" s="2"/>
    </row>
    <row r="118" spans="1:36">
      <c r="A118" s="2"/>
      <c r="B118" s="3"/>
      <c r="C118" s="4" t="str">
        <f t="shared" si="20"/>
        <v/>
      </c>
      <c r="D118" s="5"/>
      <c r="E118" s="2"/>
      <c r="F118" s="2"/>
      <c r="G118" s="2"/>
      <c r="H118" s="2"/>
      <c r="I118" s="2"/>
      <c r="J118" s="2"/>
      <c r="K118" s="3"/>
      <c r="L118" s="4" t="str">
        <f t="shared" si="21"/>
        <v/>
      </c>
      <c r="M118" s="6"/>
      <c r="N118" s="2"/>
      <c r="O118" s="7"/>
      <c r="P118" s="8"/>
      <c r="Q118" s="8"/>
      <c r="R118" s="8"/>
      <c r="S118" s="9" t="str">
        <f t="shared" si="22"/>
        <v/>
      </c>
      <c r="T118" s="2"/>
      <c r="U118" s="10"/>
      <c r="V118" s="10"/>
      <c r="W118" s="11" t="str">
        <f>IF(A118="","",SUMIFS('Exit Log'!$I$5:$I$304,'Exit Log'!$A$5:$A$304,A118))</f>
        <v/>
      </c>
      <c r="X118" s="11" t="str">
        <f t="shared" si="23"/>
        <v/>
      </c>
      <c r="Y118" s="9" t="e">
        <f>IF(W118=0,"",SUMIFS('Exit Log'!$N$5:$N$304,'Exit Log'!$A$5:$A$304,A118)/(W118*100))</f>
        <v>#VALUE!</v>
      </c>
      <c r="Z118" s="9" t="str">
        <f>IF(A118="","",SUMIFS('Exit Log'!$N$5:$N$304,'Exit Log'!$A$5:$A$304,A118))</f>
        <v/>
      </c>
      <c r="AA118" s="9" t="str">
        <f>IF(A118="","",SUMIFS('Exit Log'!$K$5:$K$304,'Exit Log'!$A$5:$A$304,A118))</f>
        <v/>
      </c>
      <c r="AB118" s="9" t="str">
        <f>IF(A118="","",SUMIFS('Exit Log'!$P$5:$P$304,'Exit Log'!$A$5:$A$304,A118))</f>
        <v/>
      </c>
      <c r="AC118" s="12" t="e">
        <f t="shared" si="24"/>
        <v>#VALUE!</v>
      </c>
      <c r="AD118" s="4" t="str">
        <f t="shared" si="25"/>
        <v/>
      </c>
      <c r="AE118" s="13">
        <f>IF(W118=0,"",LOOKUP(2,1/('Exit Log'!$A$5:$A$304=A118),'Exit Log'!$C$5:$C$304))</f>
        <v>0</v>
      </c>
      <c r="AF118" s="14">
        <f>IF(W118=0,"",LOOKUP(2,1/('Exit Log'!$A$5:$A$304=A118),'Exit Log'!$E$5:$E$304))</f>
        <v>0</v>
      </c>
      <c r="AG118" s="2"/>
      <c r="AH118" s="2"/>
      <c r="AI118" s="10"/>
      <c r="AJ118" s="2"/>
    </row>
    <row r="119" spans="1:36">
      <c r="A119" s="2"/>
      <c r="B119" s="3"/>
      <c r="C119" s="4" t="str">
        <f t="shared" si="20"/>
        <v/>
      </c>
      <c r="D119" s="5"/>
      <c r="E119" s="2"/>
      <c r="F119" s="2"/>
      <c r="G119" s="2"/>
      <c r="H119" s="2"/>
      <c r="I119" s="2"/>
      <c r="J119" s="2"/>
      <c r="K119" s="3"/>
      <c r="L119" s="4" t="str">
        <f t="shared" si="21"/>
        <v/>
      </c>
      <c r="M119" s="6"/>
      <c r="N119" s="2"/>
      <c r="O119" s="7"/>
      <c r="P119" s="8"/>
      <c r="Q119" s="8"/>
      <c r="R119" s="8"/>
      <c r="S119" s="9" t="str">
        <f t="shared" si="22"/>
        <v/>
      </c>
      <c r="T119" s="2"/>
      <c r="U119" s="10"/>
      <c r="V119" s="10"/>
      <c r="W119" s="11" t="str">
        <f>IF(A119="","",SUMIFS('Exit Log'!$I$5:$I$304,'Exit Log'!$A$5:$A$304,A119))</f>
        <v/>
      </c>
      <c r="X119" s="11" t="str">
        <f t="shared" si="23"/>
        <v/>
      </c>
      <c r="Y119" s="9" t="e">
        <f>IF(W119=0,"",SUMIFS('Exit Log'!$N$5:$N$304,'Exit Log'!$A$5:$A$304,A119)/(W119*100))</f>
        <v>#VALUE!</v>
      </c>
      <c r="Z119" s="9" t="str">
        <f>IF(A119="","",SUMIFS('Exit Log'!$N$5:$N$304,'Exit Log'!$A$5:$A$304,A119))</f>
        <v/>
      </c>
      <c r="AA119" s="9" t="str">
        <f>IF(A119="","",SUMIFS('Exit Log'!$K$5:$K$304,'Exit Log'!$A$5:$A$304,A119))</f>
        <v/>
      </c>
      <c r="AB119" s="9" t="str">
        <f>IF(A119="","",SUMIFS('Exit Log'!$P$5:$P$304,'Exit Log'!$A$5:$A$304,A119))</f>
        <v/>
      </c>
      <c r="AC119" s="12" t="e">
        <f t="shared" si="24"/>
        <v>#VALUE!</v>
      </c>
      <c r="AD119" s="4" t="str">
        <f t="shared" si="25"/>
        <v/>
      </c>
      <c r="AE119" s="13">
        <f>IF(W119=0,"",LOOKUP(2,1/('Exit Log'!$A$5:$A$304=A119),'Exit Log'!$C$5:$C$304))</f>
        <v>0</v>
      </c>
      <c r="AF119" s="14">
        <f>IF(W119=0,"",LOOKUP(2,1/('Exit Log'!$A$5:$A$304=A119),'Exit Log'!$E$5:$E$304))</f>
        <v>0</v>
      </c>
      <c r="AG119" s="2"/>
      <c r="AH119" s="2"/>
      <c r="AI119" s="10"/>
      <c r="AJ119" s="2"/>
    </row>
    <row r="120" spans="1:36">
      <c r="A120" s="2"/>
      <c r="B120" s="3"/>
      <c r="C120" s="4" t="str">
        <f t="shared" si="20"/>
        <v/>
      </c>
      <c r="D120" s="5"/>
      <c r="E120" s="2"/>
      <c r="F120" s="2"/>
      <c r="G120" s="2"/>
      <c r="H120" s="2"/>
      <c r="I120" s="2"/>
      <c r="J120" s="2"/>
      <c r="K120" s="3"/>
      <c r="L120" s="4" t="str">
        <f t="shared" si="21"/>
        <v/>
      </c>
      <c r="M120" s="6"/>
      <c r="N120" s="2"/>
      <c r="O120" s="7"/>
      <c r="P120" s="8"/>
      <c r="Q120" s="8"/>
      <c r="R120" s="8"/>
      <c r="S120" s="9" t="str">
        <f t="shared" si="22"/>
        <v/>
      </c>
      <c r="T120" s="2"/>
      <c r="U120" s="10"/>
      <c r="V120" s="10"/>
      <c r="W120" s="11" t="str">
        <f>IF(A120="","",SUMIFS('Exit Log'!$I$5:$I$304,'Exit Log'!$A$5:$A$304,A120))</f>
        <v/>
      </c>
      <c r="X120" s="11" t="str">
        <f t="shared" si="23"/>
        <v/>
      </c>
      <c r="Y120" s="9" t="e">
        <f>IF(W120=0,"",SUMIFS('Exit Log'!$N$5:$N$304,'Exit Log'!$A$5:$A$304,A120)/(W120*100))</f>
        <v>#VALUE!</v>
      </c>
      <c r="Z120" s="9" t="str">
        <f>IF(A120="","",SUMIFS('Exit Log'!$N$5:$N$304,'Exit Log'!$A$5:$A$304,A120))</f>
        <v/>
      </c>
      <c r="AA120" s="9" t="str">
        <f>IF(A120="","",SUMIFS('Exit Log'!$K$5:$K$304,'Exit Log'!$A$5:$A$304,A120))</f>
        <v/>
      </c>
      <c r="AB120" s="9" t="str">
        <f>IF(A120="","",SUMIFS('Exit Log'!$P$5:$P$304,'Exit Log'!$A$5:$A$304,A120))</f>
        <v/>
      </c>
      <c r="AC120" s="12" t="e">
        <f t="shared" si="24"/>
        <v>#VALUE!</v>
      </c>
      <c r="AD120" s="4" t="str">
        <f t="shared" si="25"/>
        <v/>
      </c>
      <c r="AE120" s="13">
        <f>IF(W120=0,"",LOOKUP(2,1/('Exit Log'!$A$5:$A$304=A120),'Exit Log'!$C$5:$C$304))</f>
        <v>0</v>
      </c>
      <c r="AF120" s="14">
        <f>IF(W120=0,"",LOOKUP(2,1/('Exit Log'!$A$5:$A$304=A120),'Exit Log'!$E$5:$E$304))</f>
        <v>0</v>
      </c>
      <c r="AG120" s="2"/>
      <c r="AH120" s="2"/>
      <c r="AI120" s="10"/>
      <c r="AJ120" s="2"/>
    </row>
    <row r="121" spans="1:36">
      <c r="A121" s="2"/>
      <c r="B121" s="3"/>
      <c r="C121" s="4" t="str">
        <f t="shared" si="20"/>
        <v/>
      </c>
      <c r="D121" s="5"/>
      <c r="E121" s="2"/>
      <c r="F121" s="2"/>
      <c r="G121" s="2"/>
      <c r="H121" s="2"/>
      <c r="I121" s="2"/>
      <c r="J121" s="2"/>
      <c r="K121" s="3"/>
      <c r="L121" s="4" t="str">
        <f t="shared" si="21"/>
        <v/>
      </c>
      <c r="M121" s="6"/>
      <c r="N121" s="2"/>
      <c r="O121" s="7"/>
      <c r="P121" s="8"/>
      <c r="Q121" s="8"/>
      <c r="R121" s="8"/>
      <c r="S121" s="9" t="str">
        <f t="shared" si="22"/>
        <v/>
      </c>
      <c r="T121" s="2"/>
      <c r="U121" s="10"/>
      <c r="V121" s="10"/>
      <c r="W121" s="11" t="str">
        <f>IF(A121="","",SUMIFS('Exit Log'!$I$5:$I$304,'Exit Log'!$A$5:$A$304,A121))</f>
        <v/>
      </c>
      <c r="X121" s="11" t="str">
        <f t="shared" si="23"/>
        <v/>
      </c>
      <c r="Y121" s="9" t="e">
        <f>IF(W121=0,"",SUMIFS('Exit Log'!$N$5:$N$304,'Exit Log'!$A$5:$A$304,A121)/(W121*100))</f>
        <v>#VALUE!</v>
      </c>
      <c r="Z121" s="9" t="str">
        <f>IF(A121="","",SUMIFS('Exit Log'!$N$5:$N$304,'Exit Log'!$A$5:$A$304,A121))</f>
        <v/>
      </c>
      <c r="AA121" s="9" t="str">
        <f>IF(A121="","",SUMIFS('Exit Log'!$K$5:$K$304,'Exit Log'!$A$5:$A$304,A121))</f>
        <v/>
      </c>
      <c r="AB121" s="9" t="str">
        <f>IF(A121="","",SUMIFS('Exit Log'!$P$5:$P$304,'Exit Log'!$A$5:$A$304,A121))</f>
        <v/>
      </c>
      <c r="AC121" s="12" t="e">
        <f t="shared" si="24"/>
        <v>#VALUE!</v>
      </c>
      <c r="AD121" s="4" t="str">
        <f t="shared" si="25"/>
        <v/>
      </c>
      <c r="AE121" s="13">
        <f>IF(W121=0,"",LOOKUP(2,1/('Exit Log'!$A$5:$A$304=A121),'Exit Log'!$C$5:$C$304))</f>
        <v>0</v>
      </c>
      <c r="AF121" s="14">
        <f>IF(W121=0,"",LOOKUP(2,1/('Exit Log'!$A$5:$A$304=A121),'Exit Log'!$E$5:$E$304))</f>
        <v>0</v>
      </c>
      <c r="AG121" s="2"/>
      <c r="AH121" s="2"/>
      <c r="AI121" s="10"/>
      <c r="AJ121" s="2"/>
    </row>
    <row r="122" spans="1:36">
      <c r="A122" s="2"/>
      <c r="B122" s="3"/>
      <c r="C122" s="4" t="str">
        <f t="shared" si="20"/>
        <v/>
      </c>
      <c r="D122" s="5"/>
      <c r="E122" s="2"/>
      <c r="F122" s="2"/>
      <c r="G122" s="2"/>
      <c r="H122" s="2"/>
      <c r="I122" s="2"/>
      <c r="J122" s="2"/>
      <c r="K122" s="3"/>
      <c r="L122" s="4" t="str">
        <f t="shared" si="21"/>
        <v/>
      </c>
      <c r="M122" s="6"/>
      <c r="N122" s="2"/>
      <c r="O122" s="7"/>
      <c r="P122" s="8"/>
      <c r="Q122" s="8"/>
      <c r="R122" s="8"/>
      <c r="S122" s="9" t="str">
        <f t="shared" si="22"/>
        <v/>
      </c>
      <c r="T122" s="2"/>
      <c r="U122" s="10"/>
      <c r="V122" s="10"/>
      <c r="W122" s="11" t="str">
        <f>IF(A122="","",SUMIFS('Exit Log'!$I$5:$I$304,'Exit Log'!$A$5:$A$304,A122))</f>
        <v/>
      </c>
      <c r="X122" s="11" t="str">
        <f t="shared" si="23"/>
        <v/>
      </c>
      <c r="Y122" s="9" t="e">
        <f>IF(W122=0,"",SUMIFS('Exit Log'!$N$5:$N$304,'Exit Log'!$A$5:$A$304,A122)/(W122*100))</f>
        <v>#VALUE!</v>
      </c>
      <c r="Z122" s="9" t="str">
        <f>IF(A122="","",SUMIFS('Exit Log'!$N$5:$N$304,'Exit Log'!$A$5:$A$304,A122))</f>
        <v/>
      </c>
      <c r="AA122" s="9" t="str">
        <f>IF(A122="","",SUMIFS('Exit Log'!$K$5:$K$304,'Exit Log'!$A$5:$A$304,A122))</f>
        <v/>
      </c>
      <c r="AB122" s="9" t="str">
        <f>IF(A122="","",SUMIFS('Exit Log'!$P$5:$P$304,'Exit Log'!$A$5:$A$304,A122))</f>
        <v/>
      </c>
      <c r="AC122" s="12" t="e">
        <f t="shared" si="24"/>
        <v>#VALUE!</v>
      </c>
      <c r="AD122" s="4" t="str">
        <f t="shared" si="25"/>
        <v/>
      </c>
      <c r="AE122" s="13">
        <f>IF(W122=0,"",LOOKUP(2,1/('Exit Log'!$A$5:$A$304=A122),'Exit Log'!$C$5:$C$304))</f>
        <v>0</v>
      </c>
      <c r="AF122" s="14">
        <f>IF(W122=0,"",LOOKUP(2,1/('Exit Log'!$A$5:$A$304=A122),'Exit Log'!$E$5:$E$304))</f>
        <v>0</v>
      </c>
      <c r="AG122" s="2"/>
      <c r="AH122" s="2"/>
      <c r="AI122" s="10"/>
      <c r="AJ122" s="2"/>
    </row>
    <row r="123" spans="1:36">
      <c r="A123" s="2"/>
      <c r="B123" s="3"/>
      <c r="C123" s="4" t="str">
        <f t="shared" si="20"/>
        <v/>
      </c>
      <c r="D123" s="5"/>
      <c r="E123" s="2"/>
      <c r="F123" s="2"/>
      <c r="G123" s="2"/>
      <c r="H123" s="2"/>
      <c r="I123" s="2"/>
      <c r="J123" s="2"/>
      <c r="K123" s="3"/>
      <c r="L123" s="4" t="str">
        <f t="shared" si="21"/>
        <v/>
      </c>
      <c r="M123" s="6"/>
      <c r="N123" s="2"/>
      <c r="O123" s="7"/>
      <c r="P123" s="8"/>
      <c r="Q123" s="8"/>
      <c r="R123" s="8"/>
      <c r="S123" s="9" t="str">
        <f t="shared" si="22"/>
        <v/>
      </c>
      <c r="T123" s="2"/>
      <c r="U123" s="10"/>
      <c r="V123" s="10"/>
      <c r="W123" s="11" t="str">
        <f>IF(A123="","",SUMIFS('Exit Log'!$I$5:$I$304,'Exit Log'!$A$5:$A$304,A123))</f>
        <v/>
      </c>
      <c r="X123" s="11" t="str">
        <f t="shared" si="23"/>
        <v/>
      </c>
      <c r="Y123" s="9" t="e">
        <f>IF(W123=0,"",SUMIFS('Exit Log'!$N$5:$N$304,'Exit Log'!$A$5:$A$304,A123)/(W123*100))</f>
        <v>#VALUE!</v>
      </c>
      <c r="Z123" s="9" t="str">
        <f>IF(A123="","",SUMIFS('Exit Log'!$N$5:$N$304,'Exit Log'!$A$5:$A$304,A123))</f>
        <v/>
      </c>
      <c r="AA123" s="9" t="str">
        <f>IF(A123="","",SUMIFS('Exit Log'!$K$5:$K$304,'Exit Log'!$A$5:$A$304,A123))</f>
        <v/>
      </c>
      <c r="AB123" s="9" t="str">
        <f>IF(A123="","",SUMIFS('Exit Log'!$P$5:$P$304,'Exit Log'!$A$5:$A$304,A123))</f>
        <v/>
      </c>
      <c r="AC123" s="12" t="e">
        <f t="shared" si="24"/>
        <v>#VALUE!</v>
      </c>
      <c r="AD123" s="4" t="str">
        <f t="shared" si="25"/>
        <v/>
      </c>
      <c r="AE123" s="13">
        <f>IF(W123=0,"",LOOKUP(2,1/('Exit Log'!$A$5:$A$304=A123),'Exit Log'!$C$5:$C$304))</f>
        <v>0</v>
      </c>
      <c r="AF123" s="14">
        <f>IF(W123=0,"",LOOKUP(2,1/('Exit Log'!$A$5:$A$304=A123),'Exit Log'!$E$5:$E$304))</f>
        <v>0</v>
      </c>
      <c r="AG123" s="2"/>
      <c r="AH123" s="2"/>
      <c r="AI123" s="10"/>
      <c r="AJ123" s="2"/>
    </row>
    <row r="124" spans="1:36">
      <c r="A124" s="2"/>
      <c r="B124" s="3"/>
      <c r="C124" s="4" t="str">
        <f t="shared" si="20"/>
        <v/>
      </c>
      <c r="D124" s="5"/>
      <c r="E124" s="2"/>
      <c r="F124" s="2"/>
      <c r="G124" s="2"/>
      <c r="H124" s="2"/>
      <c r="I124" s="2"/>
      <c r="J124" s="2"/>
      <c r="K124" s="3"/>
      <c r="L124" s="4" t="str">
        <f t="shared" si="21"/>
        <v/>
      </c>
      <c r="M124" s="6"/>
      <c r="N124" s="2"/>
      <c r="O124" s="7"/>
      <c r="P124" s="8"/>
      <c r="Q124" s="8"/>
      <c r="R124" s="8"/>
      <c r="S124" s="9" t="str">
        <f t="shared" si="22"/>
        <v/>
      </c>
      <c r="T124" s="2"/>
      <c r="U124" s="10"/>
      <c r="V124" s="10"/>
      <c r="W124" s="11" t="str">
        <f>IF(A124="","",SUMIFS('Exit Log'!$I$5:$I$304,'Exit Log'!$A$5:$A$304,A124))</f>
        <v/>
      </c>
      <c r="X124" s="11" t="str">
        <f t="shared" si="23"/>
        <v/>
      </c>
      <c r="Y124" s="9" t="e">
        <f>IF(W124=0,"",SUMIFS('Exit Log'!$N$5:$N$304,'Exit Log'!$A$5:$A$304,A124)/(W124*100))</f>
        <v>#VALUE!</v>
      </c>
      <c r="Z124" s="9" t="str">
        <f>IF(A124="","",SUMIFS('Exit Log'!$N$5:$N$304,'Exit Log'!$A$5:$A$304,A124))</f>
        <v/>
      </c>
      <c r="AA124" s="9" t="str">
        <f>IF(A124="","",SUMIFS('Exit Log'!$K$5:$K$304,'Exit Log'!$A$5:$A$304,A124))</f>
        <v/>
      </c>
      <c r="AB124" s="9" t="str">
        <f>IF(A124="","",SUMIFS('Exit Log'!$P$5:$P$304,'Exit Log'!$A$5:$A$304,A124))</f>
        <v/>
      </c>
      <c r="AC124" s="12" t="e">
        <f t="shared" si="24"/>
        <v>#VALUE!</v>
      </c>
      <c r="AD124" s="4" t="str">
        <f t="shared" si="25"/>
        <v/>
      </c>
      <c r="AE124" s="13">
        <f>IF(W124=0,"",LOOKUP(2,1/('Exit Log'!$A$5:$A$304=A124),'Exit Log'!$C$5:$C$304))</f>
        <v>0</v>
      </c>
      <c r="AF124" s="14">
        <f>IF(W124=0,"",LOOKUP(2,1/('Exit Log'!$A$5:$A$304=A124),'Exit Log'!$E$5:$E$304))</f>
        <v>0</v>
      </c>
      <c r="AG124" s="2"/>
      <c r="AH124" s="2"/>
      <c r="AI124" s="10"/>
      <c r="AJ124" s="2"/>
    </row>
    <row r="125" spans="1:36">
      <c r="A125" s="2"/>
      <c r="B125" s="3"/>
      <c r="C125" s="4" t="str">
        <f t="shared" si="20"/>
        <v/>
      </c>
      <c r="D125" s="5"/>
      <c r="E125" s="2"/>
      <c r="F125" s="2"/>
      <c r="G125" s="2"/>
      <c r="H125" s="2"/>
      <c r="I125" s="2"/>
      <c r="J125" s="2"/>
      <c r="K125" s="3"/>
      <c r="L125" s="4" t="str">
        <f t="shared" si="21"/>
        <v/>
      </c>
      <c r="M125" s="6"/>
      <c r="N125" s="2"/>
      <c r="O125" s="7"/>
      <c r="P125" s="8"/>
      <c r="Q125" s="8"/>
      <c r="R125" s="8"/>
      <c r="S125" s="9" t="str">
        <f t="shared" si="22"/>
        <v/>
      </c>
      <c r="T125" s="2"/>
      <c r="U125" s="10"/>
      <c r="V125" s="10"/>
      <c r="W125" s="11" t="str">
        <f>IF(A125="","",SUMIFS('Exit Log'!$I$5:$I$304,'Exit Log'!$A$5:$A$304,A125))</f>
        <v/>
      </c>
      <c r="X125" s="11" t="str">
        <f t="shared" si="23"/>
        <v/>
      </c>
      <c r="Y125" s="9" t="e">
        <f>IF(W125=0,"",SUMIFS('Exit Log'!$N$5:$N$304,'Exit Log'!$A$5:$A$304,A125)/(W125*100))</f>
        <v>#VALUE!</v>
      </c>
      <c r="Z125" s="9" t="str">
        <f>IF(A125="","",SUMIFS('Exit Log'!$N$5:$N$304,'Exit Log'!$A$5:$A$304,A125))</f>
        <v/>
      </c>
      <c r="AA125" s="9" t="str">
        <f>IF(A125="","",SUMIFS('Exit Log'!$K$5:$K$304,'Exit Log'!$A$5:$A$304,A125))</f>
        <v/>
      </c>
      <c r="AB125" s="9" t="str">
        <f>IF(A125="","",SUMIFS('Exit Log'!$P$5:$P$304,'Exit Log'!$A$5:$A$304,A125))</f>
        <v/>
      </c>
      <c r="AC125" s="12" t="e">
        <f t="shared" si="24"/>
        <v>#VALUE!</v>
      </c>
      <c r="AD125" s="4" t="str">
        <f t="shared" si="25"/>
        <v/>
      </c>
      <c r="AE125" s="13">
        <f>IF(W125=0,"",LOOKUP(2,1/('Exit Log'!$A$5:$A$304=A125),'Exit Log'!$C$5:$C$304))</f>
        <v>0</v>
      </c>
      <c r="AF125" s="14">
        <f>IF(W125=0,"",LOOKUP(2,1/('Exit Log'!$A$5:$A$304=A125),'Exit Log'!$E$5:$E$304))</f>
        <v>0</v>
      </c>
      <c r="AG125" s="2"/>
      <c r="AH125" s="2"/>
      <c r="AI125" s="10"/>
      <c r="AJ125" s="2"/>
    </row>
    <row r="126" spans="1:36">
      <c r="A126" s="2"/>
      <c r="B126" s="3"/>
      <c r="C126" s="4" t="str">
        <f t="shared" si="20"/>
        <v/>
      </c>
      <c r="D126" s="5"/>
      <c r="E126" s="2"/>
      <c r="F126" s="2"/>
      <c r="G126" s="2"/>
      <c r="H126" s="2"/>
      <c r="I126" s="2"/>
      <c r="J126" s="2"/>
      <c r="K126" s="3"/>
      <c r="L126" s="4" t="str">
        <f t="shared" si="21"/>
        <v/>
      </c>
      <c r="M126" s="6"/>
      <c r="N126" s="2"/>
      <c r="O126" s="7"/>
      <c r="P126" s="8"/>
      <c r="Q126" s="8"/>
      <c r="R126" s="8"/>
      <c r="S126" s="9" t="str">
        <f t="shared" si="22"/>
        <v/>
      </c>
      <c r="T126" s="2"/>
      <c r="U126" s="10"/>
      <c r="V126" s="10"/>
      <c r="W126" s="11" t="str">
        <f>IF(A126="","",SUMIFS('Exit Log'!$I$5:$I$304,'Exit Log'!$A$5:$A$304,A126))</f>
        <v/>
      </c>
      <c r="X126" s="11" t="str">
        <f t="shared" si="23"/>
        <v/>
      </c>
      <c r="Y126" s="9" t="e">
        <f>IF(W126=0,"",SUMIFS('Exit Log'!$N$5:$N$304,'Exit Log'!$A$5:$A$304,A126)/(W126*100))</f>
        <v>#VALUE!</v>
      </c>
      <c r="Z126" s="9" t="str">
        <f>IF(A126="","",SUMIFS('Exit Log'!$N$5:$N$304,'Exit Log'!$A$5:$A$304,A126))</f>
        <v/>
      </c>
      <c r="AA126" s="9" t="str">
        <f>IF(A126="","",SUMIFS('Exit Log'!$K$5:$K$304,'Exit Log'!$A$5:$A$304,A126))</f>
        <v/>
      </c>
      <c r="AB126" s="9" t="str">
        <f>IF(A126="","",SUMIFS('Exit Log'!$P$5:$P$304,'Exit Log'!$A$5:$A$304,A126))</f>
        <v/>
      </c>
      <c r="AC126" s="12" t="e">
        <f t="shared" si="24"/>
        <v>#VALUE!</v>
      </c>
      <c r="AD126" s="4" t="str">
        <f t="shared" si="25"/>
        <v/>
      </c>
      <c r="AE126" s="13">
        <f>IF(W126=0,"",LOOKUP(2,1/('Exit Log'!$A$5:$A$304=A126),'Exit Log'!$C$5:$C$304))</f>
        <v>0</v>
      </c>
      <c r="AF126" s="14">
        <f>IF(W126=0,"",LOOKUP(2,1/('Exit Log'!$A$5:$A$304=A126),'Exit Log'!$E$5:$E$304))</f>
        <v>0</v>
      </c>
      <c r="AG126" s="2"/>
      <c r="AH126" s="2"/>
      <c r="AI126" s="10"/>
      <c r="AJ126" s="2"/>
    </row>
    <row r="127" spans="1:36">
      <c r="A127" s="2"/>
      <c r="B127" s="3"/>
      <c r="C127" s="4" t="str">
        <f t="shared" si="20"/>
        <v/>
      </c>
      <c r="D127" s="5"/>
      <c r="E127" s="2"/>
      <c r="F127" s="2"/>
      <c r="G127" s="2"/>
      <c r="H127" s="2"/>
      <c r="I127" s="2"/>
      <c r="J127" s="2"/>
      <c r="K127" s="3"/>
      <c r="L127" s="4" t="str">
        <f t="shared" si="21"/>
        <v/>
      </c>
      <c r="M127" s="6"/>
      <c r="N127" s="2"/>
      <c r="O127" s="7"/>
      <c r="P127" s="8"/>
      <c r="Q127" s="8"/>
      <c r="R127" s="8"/>
      <c r="S127" s="9" t="str">
        <f t="shared" si="22"/>
        <v/>
      </c>
      <c r="T127" s="2"/>
      <c r="U127" s="10"/>
      <c r="V127" s="10"/>
      <c r="W127" s="11" t="str">
        <f>IF(A127="","",SUMIFS('Exit Log'!$I$5:$I$304,'Exit Log'!$A$5:$A$304,A127))</f>
        <v/>
      </c>
      <c r="X127" s="11" t="str">
        <f t="shared" si="23"/>
        <v/>
      </c>
      <c r="Y127" s="9" t="e">
        <f>IF(W127=0,"",SUMIFS('Exit Log'!$N$5:$N$304,'Exit Log'!$A$5:$A$304,A127)/(W127*100))</f>
        <v>#VALUE!</v>
      </c>
      <c r="Z127" s="9" t="str">
        <f>IF(A127="","",SUMIFS('Exit Log'!$N$5:$N$304,'Exit Log'!$A$5:$A$304,A127))</f>
        <v/>
      </c>
      <c r="AA127" s="9" t="str">
        <f>IF(A127="","",SUMIFS('Exit Log'!$K$5:$K$304,'Exit Log'!$A$5:$A$304,A127))</f>
        <v/>
      </c>
      <c r="AB127" s="9" t="str">
        <f>IF(A127="","",SUMIFS('Exit Log'!$P$5:$P$304,'Exit Log'!$A$5:$A$304,A127))</f>
        <v/>
      </c>
      <c r="AC127" s="12" t="e">
        <f t="shared" si="24"/>
        <v>#VALUE!</v>
      </c>
      <c r="AD127" s="4" t="str">
        <f t="shared" si="25"/>
        <v/>
      </c>
      <c r="AE127" s="13">
        <f>IF(W127=0,"",LOOKUP(2,1/('Exit Log'!$A$5:$A$304=A127),'Exit Log'!$C$5:$C$304))</f>
        <v>0</v>
      </c>
      <c r="AF127" s="14">
        <f>IF(W127=0,"",LOOKUP(2,1/('Exit Log'!$A$5:$A$304=A127),'Exit Log'!$E$5:$E$304))</f>
        <v>0</v>
      </c>
      <c r="AG127" s="2"/>
      <c r="AH127" s="2"/>
      <c r="AI127" s="10"/>
      <c r="AJ127" s="2"/>
    </row>
    <row r="128" spans="1:36">
      <c r="A128" s="2"/>
      <c r="B128" s="3"/>
      <c r="C128" s="4" t="str">
        <f t="shared" si="20"/>
        <v/>
      </c>
      <c r="D128" s="5"/>
      <c r="E128" s="2"/>
      <c r="F128" s="2"/>
      <c r="G128" s="2"/>
      <c r="H128" s="2"/>
      <c r="I128" s="2"/>
      <c r="J128" s="2"/>
      <c r="K128" s="3"/>
      <c r="L128" s="4" t="str">
        <f t="shared" si="21"/>
        <v/>
      </c>
      <c r="M128" s="6"/>
      <c r="N128" s="2"/>
      <c r="O128" s="7"/>
      <c r="P128" s="8"/>
      <c r="Q128" s="8"/>
      <c r="R128" s="8"/>
      <c r="S128" s="9" t="str">
        <f t="shared" si="22"/>
        <v/>
      </c>
      <c r="T128" s="2"/>
      <c r="U128" s="10"/>
      <c r="V128" s="10"/>
      <c r="W128" s="11" t="str">
        <f>IF(A128="","",SUMIFS('Exit Log'!$I$5:$I$304,'Exit Log'!$A$5:$A$304,A128))</f>
        <v/>
      </c>
      <c r="X128" s="11" t="str">
        <f t="shared" si="23"/>
        <v/>
      </c>
      <c r="Y128" s="9" t="e">
        <f>IF(W128=0,"",SUMIFS('Exit Log'!$N$5:$N$304,'Exit Log'!$A$5:$A$304,A128)/(W128*100))</f>
        <v>#VALUE!</v>
      </c>
      <c r="Z128" s="9" t="str">
        <f>IF(A128="","",SUMIFS('Exit Log'!$N$5:$N$304,'Exit Log'!$A$5:$A$304,A128))</f>
        <v/>
      </c>
      <c r="AA128" s="9" t="str">
        <f>IF(A128="","",SUMIFS('Exit Log'!$K$5:$K$304,'Exit Log'!$A$5:$A$304,A128))</f>
        <v/>
      </c>
      <c r="AB128" s="9" t="str">
        <f>IF(A128="","",SUMIFS('Exit Log'!$P$5:$P$304,'Exit Log'!$A$5:$A$304,A128))</f>
        <v/>
      </c>
      <c r="AC128" s="12" t="e">
        <f t="shared" si="24"/>
        <v>#VALUE!</v>
      </c>
      <c r="AD128" s="4" t="str">
        <f t="shared" si="25"/>
        <v/>
      </c>
      <c r="AE128" s="13">
        <f>IF(W128=0,"",LOOKUP(2,1/('Exit Log'!$A$5:$A$304=A128),'Exit Log'!$C$5:$C$304))</f>
        <v>0</v>
      </c>
      <c r="AF128" s="14">
        <f>IF(W128=0,"",LOOKUP(2,1/('Exit Log'!$A$5:$A$304=A128),'Exit Log'!$E$5:$E$304))</f>
        <v>0</v>
      </c>
      <c r="AG128" s="2"/>
      <c r="AH128" s="2"/>
      <c r="AI128" s="10"/>
      <c r="AJ128" s="2"/>
    </row>
    <row r="129" spans="1:36">
      <c r="A129" s="2"/>
      <c r="B129" s="3"/>
      <c r="C129" s="4" t="str">
        <f t="shared" si="20"/>
        <v/>
      </c>
      <c r="D129" s="5"/>
      <c r="E129" s="2"/>
      <c r="F129" s="2"/>
      <c r="G129" s="2"/>
      <c r="H129" s="2"/>
      <c r="I129" s="2"/>
      <c r="J129" s="2"/>
      <c r="K129" s="3"/>
      <c r="L129" s="4" t="str">
        <f t="shared" si="21"/>
        <v/>
      </c>
      <c r="M129" s="6"/>
      <c r="N129" s="2"/>
      <c r="O129" s="7"/>
      <c r="P129" s="8"/>
      <c r="Q129" s="8"/>
      <c r="R129" s="8"/>
      <c r="S129" s="9" t="str">
        <f t="shared" si="22"/>
        <v/>
      </c>
      <c r="T129" s="2"/>
      <c r="U129" s="10"/>
      <c r="V129" s="10"/>
      <c r="W129" s="11" t="str">
        <f>IF(A129="","",SUMIFS('Exit Log'!$I$5:$I$304,'Exit Log'!$A$5:$A$304,A129))</f>
        <v/>
      </c>
      <c r="X129" s="11" t="str">
        <f t="shared" si="23"/>
        <v/>
      </c>
      <c r="Y129" s="9" t="e">
        <f>IF(W129=0,"",SUMIFS('Exit Log'!$N$5:$N$304,'Exit Log'!$A$5:$A$304,A129)/(W129*100))</f>
        <v>#VALUE!</v>
      </c>
      <c r="Z129" s="9" t="str">
        <f>IF(A129="","",SUMIFS('Exit Log'!$N$5:$N$304,'Exit Log'!$A$5:$A$304,A129))</f>
        <v/>
      </c>
      <c r="AA129" s="9" t="str">
        <f>IF(A129="","",SUMIFS('Exit Log'!$K$5:$K$304,'Exit Log'!$A$5:$A$304,A129))</f>
        <v/>
      </c>
      <c r="AB129" s="9" t="str">
        <f>IF(A129="","",SUMIFS('Exit Log'!$P$5:$P$304,'Exit Log'!$A$5:$A$304,A129))</f>
        <v/>
      </c>
      <c r="AC129" s="12" t="e">
        <f t="shared" si="24"/>
        <v>#VALUE!</v>
      </c>
      <c r="AD129" s="4" t="str">
        <f t="shared" si="25"/>
        <v/>
      </c>
      <c r="AE129" s="13">
        <f>IF(W129=0,"",LOOKUP(2,1/('Exit Log'!$A$5:$A$304=A129),'Exit Log'!$C$5:$C$304))</f>
        <v>0</v>
      </c>
      <c r="AF129" s="14">
        <f>IF(W129=0,"",LOOKUP(2,1/('Exit Log'!$A$5:$A$304=A129),'Exit Log'!$E$5:$E$304))</f>
        <v>0</v>
      </c>
      <c r="AG129" s="2"/>
      <c r="AH129" s="2"/>
      <c r="AI129" s="10"/>
      <c r="AJ129" s="2"/>
    </row>
    <row r="130" spans="1:36">
      <c r="A130" s="2"/>
      <c r="B130" s="3"/>
      <c r="C130" s="4" t="str">
        <f t="shared" si="20"/>
        <v/>
      </c>
      <c r="D130" s="5"/>
      <c r="E130" s="2"/>
      <c r="F130" s="2"/>
      <c r="G130" s="2"/>
      <c r="H130" s="2"/>
      <c r="I130" s="2"/>
      <c r="J130" s="2"/>
      <c r="K130" s="3"/>
      <c r="L130" s="4" t="str">
        <f t="shared" si="21"/>
        <v/>
      </c>
      <c r="M130" s="6"/>
      <c r="N130" s="2"/>
      <c r="O130" s="7"/>
      <c r="P130" s="8"/>
      <c r="Q130" s="8"/>
      <c r="R130" s="8"/>
      <c r="S130" s="9" t="str">
        <f t="shared" si="22"/>
        <v/>
      </c>
      <c r="T130" s="2"/>
      <c r="U130" s="10"/>
      <c r="V130" s="10"/>
      <c r="W130" s="11" t="str">
        <f>IF(A130="","",SUMIFS('Exit Log'!$I$5:$I$304,'Exit Log'!$A$5:$A$304,A130))</f>
        <v/>
      </c>
      <c r="X130" s="11" t="str">
        <f t="shared" si="23"/>
        <v/>
      </c>
      <c r="Y130" s="9" t="e">
        <f>IF(W130=0,"",SUMIFS('Exit Log'!$N$5:$N$304,'Exit Log'!$A$5:$A$304,A130)/(W130*100))</f>
        <v>#VALUE!</v>
      </c>
      <c r="Z130" s="9" t="str">
        <f>IF(A130="","",SUMIFS('Exit Log'!$N$5:$N$304,'Exit Log'!$A$5:$A$304,A130))</f>
        <v/>
      </c>
      <c r="AA130" s="9" t="str">
        <f>IF(A130="","",SUMIFS('Exit Log'!$K$5:$K$304,'Exit Log'!$A$5:$A$304,A130))</f>
        <v/>
      </c>
      <c r="AB130" s="9" t="str">
        <f>IF(A130="","",SUMIFS('Exit Log'!$P$5:$P$304,'Exit Log'!$A$5:$A$304,A130))</f>
        <v/>
      </c>
      <c r="AC130" s="12" t="e">
        <f t="shared" si="24"/>
        <v>#VALUE!</v>
      </c>
      <c r="AD130" s="4" t="str">
        <f t="shared" si="25"/>
        <v/>
      </c>
      <c r="AE130" s="13">
        <f>IF(W130=0,"",LOOKUP(2,1/('Exit Log'!$A$5:$A$304=A130),'Exit Log'!$C$5:$C$304))</f>
        <v>0</v>
      </c>
      <c r="AF130" s="14">
        <f>IF(W130=0,"",LOOKUP(2,1/('Exit Log'!$A$5:$A$304=A130),'Exit Log'!$E$5:$E$304))</f>
        <v>0</v>
      </c>
      <c r="AG130" s="2"/>
      <c r="AH130" s="2"/>
      <c r="AI130" s="10"/>
      <c r="AJ130" s="2"/>
    </row>
    <row r="131" spans="1:36">
      <c r="A131" s="2"/>
      <c r="B131" s="3"/>
      <c r="C131" s="4" t="str">
        <f t="shared" si="20"/>
        <v/>
      </c>
      <c r="D131" s="5"/>
      <c r="E131" s="2"/>
      <c r="F131" s="2"/>
      <c r="G131" s="2"/>
      <c r="H131" s="2"/>
      <c r="I131" s="2"/>
      <c r="J131" s="2"/>
      <c r="K131" s="3"/>
      <c r="L131" s="4" t="str">
        <f t="shared" si="21"/>
        <v/>
      </c>
      <c r="M131" s="6"/>
      <c r="N131" s="2"/>
      <c r="O131" s="7"/>
      <c r="P131" s="8"/>
      <c r="Q131" s="8"/>
      <c r="R131" s="8"/>
      <c r="S131" s="9" t="str">
        <f t="shared" si="22"/>
        <v/>
      </c>
      <c r="T131" s="2"/>
      <c r="U131" s="10"/>
      <c r="V131" s="10"/>
      <c r="W131" s="11" t="str">
        <f>IF(A131="","",SUMIFS('Exit Log'!$I$5:$I$304,'Exit Log'!$A$5:$A$304,A131))</f>
        <v/>
      </c>
      <c r="X131" s="11" t="str">
        <f t="shared" si="23"/>
        <v/>
      </c>
      <c r="Y131" s="9" t="e">
        <f>IF(W131=0,"",SUMIFS('Exit Log'!$N$5:$N$304,'Exit Log'!$A$5:$A$304,A131)/(W131*100))</f>
        <v>#VALUE!</v>
      </c>
      <c r="Z131" s="9" t="str">
        <f>IF(A131="","",SUMIFS('Exit Log'!$N$5:$N$304,'Exit Log'!$A$5:$A$304,A131))</f>
        <v/>
      </c>
      <c r="AA131" s="9" t="str">
        <f>IF(A131="","",SUMIFS('Exit Log'!$K$5:$K$304,'Exit Log'!$A$5:$A$304,A131))</f>
        <v/>
      </c>
      <c r="AB131" s="9" t="str">
        <f>IF(A131="","",SUMIFS('Exit Log'!$P$5:$P$304,'Exit Log'!$A$5:$A$304,A131))</f>
        <v/>
      </c>
      <c r="AC131" s="12" t="e">
        <f t="shared" si="24"/>
        <v>#VALUE!</v>
      </c>
      <c r="AD131" s="4" t="str">
        <f t="shared" si="25"/>
        <v/>
      </c>
      <c r="AE131" s="13">
        <f>IF(W131=0,"",LOOKUP(2,1/('Exit Log'!$A$5:$A$304=A131),'Exit Log'!$C$5:$C$304))</f>
        <v>0</v>
      </c>
      <c r="AF131" s="14">
        <f>IF(W131=0,"",LOOKUP(2,1/('Exit Log'!$A$5:$A$304=A131),'Exit Log'!$E$5:$E$304))</f>
        <v>0</v>
      </c>
      <c r="AG131" s="2"/>
      <c r="AH131" s="2"/>
      <c r="AI131" s="10"/>
      <c r="AJ131" s="2"/>
    </row>
    <row r="132" spans="1:36">
      <c r="A132" s="2"/>
      <c r="B132" s="3"/>
      <c r="C132" s="4" t="str">
        <f t="shared" si="20"/>
        <v/>
      </c>
      <c r="D132" s="5"/>
      <c r="E132" s="2"/>
      <c r="F132" s="2"/>
      <c r="G132" s="2"/>
      <c r="H132" s="2"/>
      <c r="I132" s="2"/>
      <c r="J132" s="2"/>
      <c r="K132" s="3"/>
      <c r="L132" s="4" t="str">
        <f t="shared" si="21"/>
        <v/>
      </c>
      <c r="M132" s="6"/>
      <c r="N132" s="2"/>
      <c r="O132" s="7"/>
      <c r="P132" s="8"/>
      <c r="Q132" s="8"/>
      <c r="R132" s="8"/>
      <c r="S132" s="9" t="str">
        <f t="shared" si="22"/>
        <v/>
      </c>
      <c r="T132" s="2"/>
      <c r="U132" s="10"/>
      <c r="V132" s="10"/>
      <c r="W132" s="11" t="str">
        <f>IF(A132="","",SUMIFS('Exit Log'!$I$5:$I$304,'Exit Log'!$A$5:$A$304,A132))</f>
        <v/>
      </c>
      <c r="X132" s="11" t="str">
        <f t="shared" si="23"/>
        <v/>
      </c>
      <c r="Y132" s="9" t="e">
        <f>IF(W132=0,"",SUMIFS('Exit Log'!$N$5:$N$304,'Exit Log'!$A$5:$A$304,A132)/(W132*100))</f>
        <v>#VALUE!</v>
      </c>
      <c r="Z132" s="9" t="str">
        <f>IF(A132="","",SUMIFS('Exit Log'!$N$5:$N$304,'Exit Log'!$A$5:$A$304,A132))</f>
        <v/>
      </c>
      <c r="AA132" s="9" t="str">
        <f>IF(A132="","",SUMIFS('Exit Log'!$K$5:$K$304,'Exit Log'!$A$5:$A$304,A132))</f>
        <v/>
      </c>
      <c r="AB132" s="9" t="str">
        <f>IF(A132="","",SUMIFS('Exit Log'!$P$5:$P$304,'Exit Log'!$A$5:$A$304,A132))</f>
        <v/>
      </c>
      <c r="AC132" s="12" t="e">
        <f t="shared" si="24"/>
        <v>#VALUE!</v>
      </c>
      <c r="AD132" s="4" t="str">
        <f t="shared" si="25"/>
        <v/>
      </c>
      <c r="AE132" s="13">
        <f>IF(W132=0,"",LOOKUP(2,1/('Exit Log'!$A$5:$A$304=A132),'Exit Log'!$C$5:$C$304))</f>
        <v>0</v>
      </c>
      <c r="AF132" s="14">
        <f>IF(W132=0,"",LOOKUP(2,1/('Exit Log'!$A$5:$A$304=A132),'Exit Log'!$E$5:$E$304))</f>
        <v>0</v>
      </c>
      <c r="AG132" s="2"/>
      <c r="AH132" s="2"/>
      <c r="AI132" s="10"/>
      <c r="AJ132" s="2"/>
    </row>
    <row r="133" spans="1:36">
      <c r="A133" s="2"/>
      <c r="B133" s="3"/>
      <c r="C133" s="4" t="str">
        <f t="shared" ref="C133:C164" si="26">IF(B133="","",TEXT(B133,"dddd"))</f>
        <v/>
      </c>
      <c r="D133" s="5"/>
      <c r="E133" s="2"/>
      <c r="F133" s="2"/>
      <c r="G133" s="2"/>
      <c r="H133" s="2"/>
      <c r="I133" s="2"/>
      <c r="J133" s="2"/>
      <c r="K133" s="3"/>
      <c r="L133" s="4" t="str">
        <f t="shared" ref="L133:L164" si="27">IF(OR(B133="",K133=""),"",K133-B133)</f>
        <v/>
      </c>
      <c r="M133" s="6"/>
      <c r="N133" s="2"/>
      <c r="O133" s="7"/>
      <c r="P133" s="8"/>
      <c r="Q133" s="8"/>
      <c r="R133" s="8"/>
      <c r="S133" s="9" t="str">
        <f t="shared" ref="S133:S164" si="28">IF(OR(O133="",P133=""),"",O133*P133*100+IF(Q133="",0,Q133))</f>
        <v/>
      </c>
      <c r="T133" s="2"/>
      <c r="U133" s="10"/>
      <c r="V133" s="10"/>
      <c r="W133" s="11" t="str">
        <f>IF(A133="","",SUMIFS('Exit Log'!$I$5:$I$304,'Exit Log'!$A$5:$A$304,A133))</f>
        <v/>
      </c>
      <c r="X133" s="11" t="str">
        <f t="shared" ref="X133:X164" si="29">IF(A133="","",O133-W133)</f>
        <v/>
      </c>
      <c r="Y133" s="9" t="e">
        <f>IF(W133=0,"",SUMIFS('Exit Log'!$N$5:$N$304,'Exit Log'!$A$5:$A$304,A133)/(W133*100))</f>
        <v>#VALUE!</v>
      </c>
      <c r="Z133" s="9" t="str">
        <f>IF(A133="","",SUMIFS('Exit Log'!$N$5:$N$304,'Exit Log'!$A$5:$A$304,A133))</f>
        <v/>
      </c>
      <c r="AA133" s="9" t="str">
        <f>IF(A133="","",SUMIFS('Exit Log'!$K$5:$K$304,'Exit Log'!$A$5:$A$304,A133))</f>
        <v/>
      </c>
      <c r="AB133" s="9" t="str">
        <f>IF(A133="","",SUMIFS('Exit Log'!$P$5:$P$304,'Exit Log'!$A$5:$A$304,A133))</f>
        <v/>
      </c>
      <c r="AC133" s="12" t="e">
        <f t="shared" ref="AC133:AC164" si="30">IF(W133=0,"",AB133/(W133*P133*100+IFERROR(Q133*W133/O133,0)))</f>
        <v>#VALUE!</v>
      </c>
      <c r="AD133" s="4" t="str">
        <f t="shared" ref="AD133:AD164" si="31">IF(A133="","",IF(W133=0,"Open",IF(X133=0,"Closed","Partially Trimmed")))</f>
        <v/>
      </c>
      <c r="AE133" s="13">
        <f>IF(W133=0,"",LOOKUP(2,1/('Exit Log'!$A$5:$A$304=A133),'Exit Log'!$C$5:$C$304))</f>
        <v>0</v>
      </c>
      <c r="AF133" s="14">
        <f>IF(W133=0,"",LOOKUP(2,1/('Exit Log'!$A$5:$A$304=A133),'Exit Log'!$E$5:$E$304))</f>
        <v>0</v>
      </c>
      <c r="AG133" s="2"/>
      <c r="AH133" s="2"/>
      <c r="AI133" s="10"/>
      <c r="AJ133" s="2"/>
    </row>
    <row r="134" spans="1:36">
      <c r="A134" s="2"/>
      <c r="B134" s="3"/>
      <c r="C134" s="4" t="str">
        <f t="shared" si="26"/>
        <v/>
      </c>
      <c r="D134" s="5"/>
      <c r="E134" s="2"/>
      <c r="F134" s="2"/>
      <c r="G134" s="2"/>
      <c r="H134" s="2"/>
      <c r="I134" s="2"/>
      <c r="J134" s="2"/>
      <c r="K134" s="3"/>
      <c r="L134" s="4" t="str">
        <f t="shared" si="27"/>
        <v/>
      </c>
      <c r="M134" s="6"/>
      <c r="N134" s="2"/>
      <c r="O134" s="7"/>
      <c r="P134" s="8"/>
      <c r="Q134" s="8"/>
      <c r="R134" s="8"/>
      <c r="S134" s="9" t="str">
        <f t="shared" si="28"/>
        <v/>
      </c>
      <c r="T134" s="2"/>
      <c r="U134" s="10"/>
      <c r="V134" s="10"/>
      <c r="W134" s="11" t="str">
        <f>IF(A134="","",SUMIFS('Exit Log'!$I$5:$I$304,'Exit Log'!$A$5:$A$304,A134))</f>
        <v/>
      </c>
      <c r="X134" s="11" t="str">
        <f t="shared" si="29"/>
        <v/>
      </c>
      <c r="Y134" s="9" t="e">
        <f>IF(W134=0,"",SUMIFS('Exit Log'!$N$5:$N$304,'Exit Log'!$A$5:$A$304,A134)/(W134*100))</f>
        <v>#VALUE!</v>
      </c>
      <c r="Z134" s="9" t="str">
        <f>IF(A134="","",SUMIFS('Exit Log'!$N$5:$N$304,'Exit Log'!$A$5:$A$304,A134))</f>
        <v/>
      </c>
      <c r="AA134" s="9" t="str">
        <f>IF(A134="","",SUMIFS('Exit Log'!$K$5:$K$304,'Exit Log'!$A$5:$A$304,A134))</f>
        <v/>
      </c>
      <c r="AB134" s="9" t="str">
        <f>IF(A134="","",SUMIFS('Exit Log'!$P$5:$P$304,'Exit Log'!$A$5:$A$304,A134))</f>
        <v/>
      </c>
      <c r="AC134" s="12" t="e">
        <f t="shared" si="30"/>
        <v>#VALUE!</v>
      </c>
      <c r="AD134" s="4" t="str">
        <f t="shared" si="31"/>
        <v/>
      </c>
      <c r="AE134" s="13">
        <f>IF(W134=0,"",LOOKUP(2,1/('Exit Log'!$A$5:$A$304=A134),'Exit Log'!$C$5:$C$304))</f>
        <v>0</v>
      </c>
      <c r="AF134" s="14">
        <f>IF(W134=0,"",LOOKUP(2,1/('Exit Log'!$A$5:$A$304=A134),'Exit Log'!$E$5:$E$304))</f>
        <v>0</v>
      </c>
      <c r="AG134" s="2"/>
      <c r="AH134" s="2"/>
      <c r="AI134" s="10"/>
      <c r="AJ134" s="2"/>
    </row>
    <row r="135" spans="1:36">
      <c r="A135" s="2"/>
      <c r="B135" s="3"/>
      <c r="C135" s="4" t="str">
        <f t="shared" si="26"/>
        <v/>
      </c>
      <c r="D135" s="5"/>
      <c r="E135" s="2"/>
      <c r="F135" s="2"/>
      <c r="G135" s="2"/>
      <c r="H135" s="2"/>
      <c r="I135" s="2"/>
      <c r="J135" s="2"/>
      <c r="K135" s="3"/>
      <c r="L135" s="4" t="str">
        <f t="shared" si="27"/>
        <v/>
      </c>
      <c r="M135" s="6"/>
      <c r="N135" s="2"/>
      <c r="O135" s="7"/>
      <c r="P135" s="8"/>
      <c r="Q135" s="8"/>
      <c r="R135" s="8"/>
      <c r="S135" s="9" t="str">
        <f t="shared" si="28"/>
        <v/>
      </c>
      <c r="T135" s="2"/>
      <c r="U135" s="10"/>
      <c r="V135" s="10"/>
      <c r="W135" s="11" t="str">
        <f>IF(A135="","",SUMIFS('Exit Log'!$I$5:$I$304,'Exit Log'!$A$5:$A$304,A135))</f>
        <v/>
      </c>
      <c r="X135" s="11" t="str">
        <f t="shared" si="29"/>
        <v/>
      </c>
      <c r="Y135" s="9" t="e">
        <f>IF(W135=0,"",SUMIFS('Exit Log'!$N$5:$N$304,'Exit Log'!$A$5:$A$304,A135)/(W135*100))</f>
        <v>#VALUE!</v>
      </c>
      <c r="Z135" s="9" t="str">
        <f>IF(A135="","",SUMIFS('Exit Log'!$N$5:$N$304,'Exit Log'!$A$5:$A$304,A135))</f>
        <v/>
      </c>
      <c r="AA135" s="9" t="str">
        <f>IF(A135="","",SUMIFS('Exit Log'!$K$5:$K$304,'Exit Log'!$A$5:$A$304,A135))</f>
        <v/>
      </c>
      <c r="AB135" s="9" t="str">
        <f>IF(A135="","",SUMIFS('Exit Log'!$P$5:$P$304,'Exit Log'!$A$5:$A$304,A135))</f>
        <v/>
      </c>
      <c r="AC135" s="12" t="e">
        <f t="shared" si="30"/>
        <v>#VALUE!</v>
      </c>
      <c r="AD135" s="4" t="str">
        <f t="shared" si="31"/>
        <v/>
      </c>
      <c r="AE135" s="13">
        <f>IF(W135=0,"",LOOKUP(2,1/('Exit Log'!$A$5:$A$304=A135),'Exit Log'!$C$5:$C$304))</f>
        <v>0</v>
      </c>
      <c r="AF135" s="14">
        <f>IF(W135=0,"",LOOKUP(2,1/('Exit Log'!$A$5:$A$304=A135),'Exit Log'!$E$5:$E$304))</f>
        <v>0</v>
      </c>
      <c r="AG135" s="2"/>
      <c r="AH135" s="2"/>
      <c r="AI135" s="10"/>
      <c r="AJ135" s="2"/>
    </row>
    <row r="136" spans="1:36">
      <c r="A136" s="2"/>
      <c r="B136" s="3"/>
      <c r="C136" s="4" t="str">
        <f t="shared" si="26"/>
        <v/>
      </c>
      <c r="D136" s="5"/>
      <c r="E136" s="2"/>
      <c r="F136" s="2"/>
      <c r="G136" s="2"/>
      <c r="H136" s="2"/>
      <c r="I136" s="2"/>
      <c r="J136" s="2"/>
      <c r="K136" s="3"/>
      <c r="L136" s="4" t="str">
        <f t="shared" si="27"/>
        <v/>
      </c>
      <c r="M136" s="6"/>
      <c r="N136" s="2"/>
      <c r="O136" s="7"/>
      <c r="P136" s="8"/>
      <c r="Q136" s="8"/>
      <c r="R136" s="8"/>
      <c r="S136" s="9" t="str">
        <f t="shared" si="28"/>
        <v/>
      </c>
      <c r="T136" s="2"/>
      <c r="U136" s="10"/>
      <c r="V136" s="10"/>
      <c r="W136" s="11" t="str">
        <f>IF(A136="","",SUMIFS('Exit Log'!$I$5:$I$304,'Exit Log'!$A$5:$A$304,A136))</f>
        <v/>
      </c>
      <c r="X136" s="11" t="str">
        <f t="shared" si="29"/>
        <v/>
      </c>
      <c r="Y136" s="9" t="e">
        <f>IF(W136=0,"",SUMIFS('Exit Log'!$N$5:$N$304,'Exit Log'!$A$5:$A$304,A136)/(W136*100))</f>
        <v>#VALUE!</v>
      </c>
      <c r="Z136" s="9" t="str">
        <f>IF(A136="","",SUMIFS('Exit Log'!$N$5:$N$304,'Exit Log'!$A$5:$A$304,A136))</f>
        <v/>
      </c>
      <c r="AA136" s="9" t="str">
        <f>IF(A136="","",SUMIFS('Exit Log'!$K$5:$K$304,'Exit Log'!$A$5:$A$304,A136))</f>
        <v/>
      </c>
      <c r="AB136" s="9" t="str">
        <f>IF(A136="","",SUMIFS('Exit Log'!$P$5:$P$304,'Exit Log'!$A$5:$A$304,A136))</f>
        <v/>
      </c>
      <c r="AC136" s="12" t="e">
        <f t="shared" si="30"/>
        <v>#VALUE!</v>
      </c>
      <c r="AD136" s="4" t="str">
        <f t="shared" si="31"/>
        <v/>
      </c>
      <c r="AE136" s="13">
        <f>IF(W136=0,"",LOOKUP(2,1/('Exit Log'!$A$5:$A$304=A136),'Exit Log'!$C$5:$C$304))</f>
        <v>0</v>
      </c>
      <c r="AF136" s="14">
        <f>IF(W136=0,"",LOOKUP(2,1/('Exit Log'!$A$5:$A$304=A136),'Exit Log'!$E$5:$E$304))</f>
        <v>0</v>
      </c>
      <c r="AG136" s="2"/>
      <c r="AH136" s="2"/>
      <c r="AI136" s="10"/>
      <c r="AJ136" s="2"/>
    </row>
    <row r="137" spans="1:36">
      <c r="A137" s="2"/>
      <c r="B137" s="3"/>
      <c r="C137" s="4" t="str">
        <f t="shared" si="26"/>
        <v/>
      </c>
      <c r="D137" s="5"/>
      <c r="E137" s="2"/>
      <c r="F137" s="2"/>
      <c r="G137" s="2"/>
      <c r="H137" s="2"/>
      <c r="I137" s="2"/>
      <c r="J137" s="2"/>
      <c r="K137" s="3"/>
      <c r="L137" s="4" t="str">
        <f t="shared" si="27"/>
        <v/>
      </c>
      <c r="M137" s="6"/>
      <c r="N137" s="2"/>
      <c r="O137" s="7"/>
      <c r="P137" s="8"/>
      <c r="Q137" s="8"/>
      <c r="R137" s="8"/>
      <c r="S137" s="9" t="str">
        <f t="shared" si="28"/>
        <v/>
      </c>
      <c r="T137" s="2"/>
      <c r="U137" s="10"/>
      <c r="V137" s="10"/>
      <c r="W137" s="11" t="str">
        <f>IF(A137="","",SUMIFS('Exit Log'!$I$5:$I$304,'Exit Log'!$A$5:$A$304,A137))</f>
        <v/>
      </c>
      <c r="X137" s="11" t="str">
        <f t="shared" si="29"/>
        <v/>
      </c>
      <c r="Y137" s="9" t="e">
        <f>IF(W137=0,"",SUMIFS('Exit Log'!$N$5:$N$304,'Exit Log'!$A$5:$A$304,A137)/(W137*100))</f>
        <v>#VALUE!</v>
      </c>
      <c r="Z137" s="9" t="str">
        <f>IF(A137="","",SUMIFS('Exit Log'!$N$5:$N$304,'Exit Log'!$A$5:$A$304,A137))</f>
        <v/>
      </c>
      <c r="AA137" s="9" t="str">
        <f>IF(A137="","",SUMIFS('Exit Log'!$K$5:$K$304,'Exit Log'!$A$5:$A$304,A137))</f>
        <v/>
      </c>
      <c r="AB137" s="9" t="str">
        <f>IF(A137="","",SUMIFS('Exit Log'!$P$5:$P$304,'Exit Log'!$A$5:$A$304,A137))</f>
        <v/>
      </c>
      <c r="AC137" s="12" t="e">
        <f t="shared" si="30"/>
        <v>#VALUE!</v>
      </c>
      <c r="AD137" s="4" t="str">
        <f t="shared" si="31"/>
        <v/>
      </c>
      <c r="AE137" s="13">
        <f>IF(W137=0,"",LOOKUP(2,1/('Exit Log'!$A$5:$A$304=A137),'Exit Log'!$C$5:$C$304))</f>
        <v>0</v>
      </c>
      <c r="AF137" s="14">
        <f>IF(W137=0,"",LOOKUP(2,1/('Exit Log'!$A$5:$A$304=A137),'Exit Log'!$E$5:$E$304))</f>
        <v>0</v>
      </c>
      <c r="AG137" s="2"/>
      <c r="AH137" s="2"/>
      <c r="AI137" s="10"/>
      <c r="AJ137" s="2"/>
    </row>
    <row r="138" spans="1:36">
      <c r="A138" s="2"/>
      <c r="B138" s="3"/>
      <c r="C138" s="4" t="str">
        <f t="shared" si="26"/>
        <v/>
      </c>
      <c r="D138" s="5"/>
      <c r="E138" s="2"/>
      <c r="F138" s="2"/>
      <c r="G138" s="2"/>
      <c r="H138" s="2"/>
      <c r="I138" s="2"/>
      <c r="J138" s="2"/>
      <c r="K138" s="3"/>
      <c r="L138" s="4" t="str">
        <f t="shared" si="27"/>
        <v/>
      </c>
      <c r="M138" s="6"/>
      <c r="N138" s="2"/>
      <c r="O138" s="7"/>
      <c r="P138" s="8"/>
      <c r="Q138" s="8"/>
      <c r="R138" s="8"/>
      <c r="S138" s="9" t="str">
        <f t="shared" si="28"/>
        <v/>
      </c>
      <c r="T138" s="2"/>
      <c r="U138" s="10"/>
      <c r="V138" s="10"/>
      <c r="W138" s="11" t="str">
        <f>IF(A138="","",SUMIFS('Exit Log'!$I$5:$I$304,'Exit Log'!$A$5:$A$304,A138))</f>
        <v/>
      </c>
      <c r="X138" s="11" t="str">
        <f t="shared" si="29"/>
        <v/>
      </c>
      <c r="Y138" s="9" t="e">
        <f>IF(W138=0,"",SUMIFS('Exit Log'!$N$5:$N$304,'Exit Log'!$A$5:$A$304,A138)/(W138*100))</f>
        <v>#VALUE!</v>
      </c>
      <c r="Z138" s="9" t="str">
        <f>IF(A138="","",SUMIFS('Exit Log'!$N$5:$N$304,'Exit Log'!$A$5:$A$304,A138))</f>
        <v/>
      </c>
      <c r="AA138" s="9" t="str">
        <f>IF(A138="","",SUMIFS('Exit Log'!$K$5:$K$304,'Exit Log'!$A$5:$A$304,A138))</f>
        <v/>
      </c>
      <c r="AB138" s="9" t="str">
        <f>IF(A138="","",SUMIFS('Exit Log'!$P$5:$P$304,'Exit Log'!$A$5:$A$304,A138))</f>
        <v/>
      </c>
      <c r="AC138" s="12" t="e">
        <f t="shared" si="30"/>
        <v>#VALUE!</v>
      </c>
      <c r="AD138" s="4" t="str">
        <f t="shared" si="31"/>
        <v/>
      </c>
      <c r="AE138" s="13">
        <f>IF(W138=0,"",LOOKUP(2,1/('Exit Log'!$A$5:$A$304=A138),'Exit Log'!$C$5:$C$304))</f>
        <v>0</v>
      </c>
      <c r="AF138" s="14">
        <f>IF(W138=0,"",LOOKUP(2,1/('Exit Log'!$A$5:$A$304=A138),'Exit Log'!$E$5:$E$304))</f>
        <v>0</v>
      </c>
      <c r="AG138" s="2"/>
      <c r="AH138" s="2"/>
      <c r="AI138" s="10"/>
      <c r="AJ138" s="2"/>
    </row>
    <row r="139" spans="1:36">
      <c r="A139" s="2"/>
      <c r="B139" s="3"/>
      <c r="C139" s="4" t="str">
        <f t="shared" si="26"/>
        <v/>
      </c>
      <c r="D139" s="5"/>
      <c r="E139" s="2"/>
      <c r="F139" s="2"/>
      <c r="G139" s="2"/>
      <c r="H139" s="2"/>
      <c r="I139" s="2"/>
      <c r="J139" s="2"/>
      <c r="K139" s="3"/>
      <c r="L139" s="4" t="str">
        <f t="shared" si="27"/>
        <v/>
      </c>
      <c r="M139" s="6"/>
      <c r="N139" s="2"/>
      <c r="O139" s="7"/>
      <c r="P139" s="8"/>
      <c r="Q139" s="8"/>
      <c r="R139" s="8"/>
      <c r="S139" s="9" t="str">
        <f t="shared" si="28"/>
        <v/>
      </c>
      <c r="T139" s="2"/>
      <c r="U139" s="10"/>
      <c r="V139" s="10"/>
      <c r="W139" s="11" t="str">
        <f>IF(A139="","",SUMIFS('Exit Log'!$I$5:$I$304,'Exit Log'!$A$5:$A$304,A139))</f>
        <v/>
      </c>
      <c r="X139" s="11" t="str">
        <f t="shared" si="29"/>
        <v/>
      </c>
      <c r="Y139" s="9" t="e">
        <f>IF(W139=0,"",SUMIFS('Exit Log'!$N$5:$N$304,'Exit Log'!$A$5:$A$304,A139)/(W139*100))</f>
        <v>#VALUE!</v>
      </c>
      <c r="Z139" s="9" t="str">
        <f>IF(A139="","",SUMIFS('Exit Log'!$N$5:$N$304,'Exit Log'!$A$5:$A$304,A139))</f>
        <v/>
      </c>
      <c r="AA139" s="9" t="str">
        <f>IF(A139="","",SUMIFS('Exit Log'!$K$5:$K$304,'Exit Log'!$A$5:$A$304,A139))</f>
        <v/>
      </c>
      <c r="AB139" s="9" t="str">
        <f>IF(A139="","",SUMIFS('Exit Log'!$P$5:$P$304,'Exit Log'!$A$5:$A$304,A139))</f>
        <v/>
      </c>
      <c r="AC139" s="12" t="e">
        <f t="shared" si="30"/>
        <v>#VALUE!</v>
      </c>
      <c r="AD139" s="4" t="str">
        <f t="shared" si="31"/>
        <v/>
      </c>
      <c r="AE139" s="13">
        <f>IF(W139=0,"",LOOKUP(2,1/('Exit Log'!$A$5:$A$304=A139),'Exit Log'!$C$5:$C$304))</f>
        <v>0</v>
      </c>
      <c r="AF139" s="14">
        <f>IF(W139=0,"",LOOKUP(2,1/('Exit Log'!$A$5:$A$304=A139),'Exit Log'!$E$5:$E$304))</f>
        <v>0</v>
      </c>
      <c r="AG139" s="2"/>
      <c r="AH139" s="2"/>
      <c r="AI139" s="10"/>
      <c r="AJ139" s="2"/>
    </row>
    <row r="140" spans="1:36">
      <c r="A140" s="2"/>
      <c r="B140" s="3"/>
      <c r="C140" s="4" t="str">
        <f t="shared" si="26"/>
        <v/>
      </c>
      <c r="D140" s="5"/>
      <c r="E140" s="2"/>
      <c r="F140" s="2"/>
      <c r="G140" s="2"/>
      <c r="H140" s="2"/>
      <c r="I140" s="2"/>
      <c r="J140" s="2"/>
      <c r="K140" s="3"/>
      <c r="L140" s="4" t="str">
        <f t="shared" si="27"/>
        <v/>
      </c>
      <c r="M140" s="6"/>
      <c r="N140" s="2"/>
      <c r="O140" s="7"/>
      <c r="P140" s="8"/>
      <c r="Q140" s="8"/>
      <c r="R140" s="8"/>
      <c r="S140" s="9" t="str">
        <f t="shared" si="28"/>
        <v/>
      </c>
      <c r="T140" s="2"/>
      <c r="U140" s="10"/>
      <c r="V140" s="10"/>
      <c r="W140" s="11" t="str">
        <f>IF(A140="","",SUMIFS('Exit Log'!$I$5:$I$304,'Exit Log'!$A$5:$A$304,A140))</f>
        <v/>
      </c>
      <c r="X140" s="11" t="str">
        <f t="shared" si="29"/>
        <v/>
      </c>
      <c r="Y140" s="9" t="e">
        <f>IF(W140=0,"",SUMIFS('Exit Log'!$N$5:$N$304,'Exit Log'!$A$5:$A$304,A140)/(W140*100))</f>
        <v>#VALUE!</v>
      </c>
      <c r="Z140" s="9" t="str">
        <f>IF(A140="","",SUMIFS('Exit Log'!$N$5:$N$304,'Exit Log'!$A$5:$A$304,A140))</f>
        <v/>
      </c>
      <c r="AA140" s="9" t="str">
        <f>IF(A140="","",SUMIFS('Exit Log'!$K$5:$K$304,'Exit Log'!$A$5:$A$304,A140))</f>
        <v/>
      </c>
      <c r="AB140" s="9" t="str">
        <f>IF(A140="","",SUMIFS('Exit Log'!$P$5:$P$304,'Exit Log'!$A$5:$A$304,A140))</f>
        <v/>
      </c>
      <c r="AC140" s="12" t="e">
        <f t="shared" si="30"/>
        <v>#VALUE!</v>
      </c>
      <c r="AD140" s="4" t="str">
        <f t="shared" si="31"/>
        <v/>
      </c>
      <c r="AE140" s="13">
        <f>IF(W140=0,"",LOOKUP(2,1/('Exit Log'!$A$5:$A$304=A140),'Exit Log'!$C$5:$C$304))</f>
        <v>0</v>
      </c>
      <c r="AF140" s="14">
        <f>IF(W140=0,"",LOOKUP(2,1/('Exit Log'!$A$5:$A$304=A140),'Exit Log'!$E$5:$E$304))</f>
        <v>0</v>
      </c>
      <c r="AG140" s="2"/>
      <c r="AH140" s="2"/>
      <c r="AI140" s="10"/>
      <c r="AJ140" s="2"/>
    </row>
    <row r="141" spans="1:36">
      <c r="A141" s="2"/>
      <c r="B141" s="3"/>
      <c r="C141" s="4" t="str">
        <f t="shared" si="26"/>
        <v/>
      </c>
      <c r="D141" s="5"/>
      <c r="E141" s="2"/>
      <c r="F141" s="2"/>
      <c r="G141" s="2"/>
      <c r="H141" s="2"/>
      <c r="I141" s="2"/>
      <c r="J141" s="2"/>
      <c r="K141" s="3"/>
      <c r="L141" s="4" t="str">
        <f t="shared" si="27"/>
        <v/>
      </c>
      <c r="M141" s="6"/>
      <c r="N141" s="2"/>
      <c r="O141" s="7"/>
      <c r="P141" s="8"/>
      <c r="Q141" s="8"/>
      <c r="R141" s="8"/>
      <c r="S141" s="9" t="str">
        <f t="shared" si="28"/>
        <v/>
      </c>
      <c r="T141" s="2"/>
      <c r="U141" s="10"/>
      <c r="V141" s="10"/>
      <c r="W141" s="11" t="str">
        <f>IF(A141="","",SUMIFS('Exit Log'!$I$5:$I$304,'Exit Log'!$A$5:$A$304,A141))</f>
        <v/>
      </c>
      <c r="X141" s="11" t="str">
        <f t="shared" si="29"/>
        <v/>
      </c>
      <c r="Y141" s="9" t="e">
        <f>IF(W141=0,"",SUMIFS('Exit Log'!$N$5:$N$304,'Exit Log'!$A$5:$A$304,A141)/(W141*100))</f>
        <v>#VALUE!</v>
      </c>
      <c r="Z141" s="9" t="str">
        <f>IF(A141="","",SUMIFS('Exit Log'!$N$5:$N$304,'Exit Log'!$A$5:$A$304,A141))</f>
        <v/>
      </c>
      <c r="AA141" s="9" t="str">
        <f>IF(A141="","",SUMIFS('Exit Log'!$K$5:$K$304,'Exit Log'!$A$5:$A$304,A141))</f>
        <v/>
      </c>
      <c r="AB141" s="9" t="str">
        <f>IF(A141="","",SUMIFS('Exit Log'!$P$5:$P$304,'Exit Log'!$A$5:$A$304,A141))</f>
        <v/>
      </c>
      <c r="AC141" s="12" t="e">
        <f t="shared" si="30"/>
        <v>#VALUE!</v>
      </c>
      <c r="AD141" s="4" t="str">
        <f t="shared" si="31"/>
        <v/>
      </c>
      <c r="AE141" s="13">
        <f>IF(W141=0,"",LOOKUP(2,1/('Exit Log'!$A$5:$A$304=A141),'Exit Log'!$C$5:$C$304))</f>
        <v>0</v>
      </c>
      <c r="AF141" s="14">
        <f>IF(W141=0,"",LOOKUP(2,1/('Exit Log'!$A$5:$A$304=A141),'Exit Log'!$E$5:$E$304))</f>
        <v>0</v>
      </c>
      <c r="AG141" s="2"/>
      <c r="AH141" s="2"/>
      <c r="AI141" s="10"/>
      <c r="AJ141" s="2"/>
    </row>
    <row r="142" spans="1:36">
      <c r="A142" s="2"/>
      <c r="B142" s="3"/>
      <c r="C142" s="4" t="str">
        <f t="shared" si="26"/>
        <v/>
      </c>
      <c r="D142" s="5"/>
      <c r="E142" s="2"/>
      <c r="F142" s="2"/>
      <c r="G142" s="2"/>
      <c r="H142" s="2"/>
      <c r="I142" s="2"/>
      <c r="J142" s="2"/>
      <c r="K142" s="3"/>
      <c r="L142" s="4" t="str">
        <f t="shared" si="27"/>
        <v/>
      </c>
      <c r="M142" s="6"/>
      <c r="N142" s="2"/>
      <c r="O142" s="7"/>
      <c r="P142" s="8"/>
      <c r="Q142" s="8"/>
      <c r="R142" s="8"/>
      <c r="S142" s="9" t="str">
        <f t="shared" si="28"/>
        <v/>
      </c>
      <c r="T142" s="2"/>
      <c r="U142" s="10"/>
      <c r="V142" s="10"/>
      <c r="W142" s="11" t="str">
        <f>IF(A142="","",SUMIFS('Exit Log'!$I$5:$I$304,'Exit Log'!$A$5:$A$304,A142))</f>
        <v/>
      </c>
      <c r="X142" s="11" t="str">
        <f t="shared" si="29"/>
        <v/>
      </c>
      <c r="Y142" s="9" t="e">
        <f>IF(W142=0,"",SUMIFS('Exit Log'!$N$5:$N$304,'Exit Log'!$A$5:$A$304,A142)/(W142*100))</f>
        <v>#VALUE!</v>
      </c>
      <c r="Z142" s="9" t="str">
        <f>IF(A142="","",SUMIFS('Exit Log'!$N$5:$N$304,'Exit Log'!$A$5:$A$304,A142))</f>
        <v/>
      </c>
      <c r="AA142" s="9" t="str">
        <f>IF(A142="","",SUMIFS('Exit Log'!$K$5:$K$304,'Exit Log'!$A$5:$A$304,A142))</f>
        <v/>
      </c>
      <c r="AB142" s="9" t="str">
        <f>IF(A142="","",SUMIFS('Exit Log'!$P$5:$P$304,'Exit Log'!$A$5:$A$304,A142))</f>
        <v/>
      </c>
      <c r="AC142" s="12" t="e">
        <f t="shared" si="30"/>
        <v>#VALUE!</v>
      </c>
      <c r="AD142" s="4" t="str">
        <f t="shared" si="31"/>
        <v/>
      </c>
      <c r="AE142" s="13">
        <f>IF(W142=0,"",LOOKUP(2,1/('Exit Log'!$A$5:$A$304=A142),'Exit Log'!$C$5:$C$304))</f>
        <v>0</v>
      </c>
      <c r="AF142" s="14">
        <f>IF(W142=0,"",LOOKUP(2,1/('Exit Log'!$A$5:$A$304=A142),'Exit Log'!$E$5:$E$304))</f>
        <v>0</v>
      </c>
      <c r="AG142" s="2"/>
      <c r="AH142" s="2"/>
      <c r="AI142" s="10"/>
      <c r="AJ142" s="2"/>
    </row>
    <row r="143" spans="1:36">
      <c r="A143" s="2"/>
      <c r="B143" s="3"/>
      <c r="C143" s="4" t="str">
        <f t="shared" si="26"/>
        <v/>
      </c>
      <c r="D143" s="5"/>
      <c r="E143" s="2"/>
      <c r="F143" s="2"/>
      <c r="G143" s="2"/>
      <c r="H143" s="2"/>
      <c r="I143" s="2"/>
      <c r="J143" s="2"/>
      <c r="K143" s="3"/>
      <c r="L143" s="4" t="str">
        <f t="shared" si="27"/>
        <v/>
      </c>
      <c r="M143" s="6"/>
      <c r="N143" s="2"/>
      <c r="O143" s="7"/>
      <c r="P143" s="8"/>
      <c r="Q143" s="8"/>
      <c r="R143" s="8"/>
      <c r="S143" s="9" t="str">
        <f t="shared" si="28"/>
        <v/>
      </c>
      <c r="T143" s="2"/>
      <c r="U143" s="10"/>
      <c r="V143" s="10"/>
      <c r="W143" s="11" t="str">
        <f>IF(A143="","",SUMIFS('Exit Log'!$I$5:$I$304,'Exit Log'!$A$5:$A$304,A143))</f>
        <v/>
      </c>
      <c r="X143" s="11" t="str">
        <f t="shared" si="29"/>
        <v/>
      </c>
      <c r="Y143" s="9" t="e">
        <f>IF(W143=0,"",SUMIFS('Exit Log'!$N$5:$N$304,'Exit Log'!$A$5:$A$304,A143)/(W143*100))</f>
        <v>#VALUE!</v>
      </c>
      <c r="Z143" s="9" t="str">
        <f>IF(A143="","",SUMIFS('Exit Log'!$N$5:$N$304,'Exit Log'!$A$5:$A$304,A143))</f>
        <v/>
      </c>
      <c r="AA143" s="9" t="str">
        <f>IF(A143="","",SUMIFS('Exit Log'!$K$5:$K$304,'Exit Log'!$A$5:$A$304,A143))</f>
        <v/>
      </c>
      <c r="AB143" s="9" t="str">
        <f>IF(A143="","",SUMIFS('Exit Log'!$P$5:$P$304,'Exit Log'!$A$5:$A$304,A143))</f>
        <v/>
      </c>
      <c r="AC143" s="12" t="e">
        <f t="shared" si="30"/>
        <v>#VALUE!</v>
      </c>
      <c r="AD143" s="4" t="str">
        <f t="shared" si="31"/>
        <v/>
      </c>
      <c r="AE143" s="13">
        <f>IF(W143=0,"",LOOKUP(2,1/('Exit Log'!$A$5:$A$304=A143),'Exit Log'!$C$5:$C$304))</f>
        <v>0</v>
      </c>
      <c r="AF143" s="14">
        <f>IF(W143=0,"",LOOKUP(2,1/('Exit Log'!$A$5:$A$304=A143),'Exit Log'!$E$5:$E$304))</f>
        <v>0</v>
      </c>
      <c r="AG143" s="2"/>
      <c r="AH143" s="2"/>
      <c r="AI143" s="10"/>
      <c r="AJ143" s="2"/>
    </row>
    <row r="144" spans="1:36">
      <c r="A144" s="2"/>
      <c r="B144" s="3"/>
      <c r="C144" s="4" t="str">
        <f t="shared" si="26"/>
        <v/>
      </c>
      <c r="D144" s="5"/>
      <c r="E144" s="2"/>
      <c r="F144" s="2"/>
      <c r="G144" s="2"/>
      <c r="H144" s="2"/>
      <c r="I144" s="2"/>
      <c r="J144" s="2"/>
      <c r="K144" s="3"/>
      <c r="L144" s="4" t="str">
        <f t="shared" si="27"/>
        <v/>
      </c>
      <c r="M144" s="6"/>
      <c r="N144" s="2"/>
      <c r="O144" s="7"/>
      <c r="P144" s="8"/>
      <c r="Q144" s="8"/>
      <c r="R144" s="8"/>
      <c r="S144" s="9" t="str">
        <f t="shared" si="28"/>
        <v/>
      </c>
      <c r="T144" s="2"/>
      <c r="U144" s="10"/>
      <c r="V144" s="10"/>
      <c r="W144" s="11" t="str">
        <f>IF(A144="","",SUMIFS('Exit Log'!$I$5:$I$304,'Exit Log'!$A$5:$A$304,A144))</f>
        <v/>
      </c>
      <c r="X144" s="11" t="str">
        <f t="shared" si="29"/>
        <v/>
      </c>
      <c r="Y144" s="9" t="e">
        <f>IF(W144=0,"",SUMIFS('Exit Log'!$N$5:$N$304,'Exit Log'!$A$5:$A$304,A144)/(W144*100))</f>
        <v>#VALUE!</v>
      </c>
      <c r="Z144" s="9" t="str">
        <f>IF(A144="","",SUMIFS('Exit Log'!$N$5:$N$304,'Exit Log'!$A$5:$A$304,A144))</f>
        <v/>
      </c>
      <c r="AA144" s="9" t="str">
        <f>IF(A144="","",SUMIFS('Exit Log'!$K$5:$K$304,'Exit Log'!$A$5:$A$304,A144))</f>
        <v/>
      </c>
      <c r="AB144" s="9" t="str">
        <f>IF(A144="","",SUMIFS('Exit Log'!$P$5:$P$304,'Exit Log'!$A$5:$A$304,A144))</f>
        <v/>
      </c>
      <c r="AC144" s="12" t="e">
        <f t="shared" si="30"/>
        <v>#VALUE!</v>
      </c>
      <c r="AD144" s="4" t="str">
        <f t="shared" si="31"/>
        <v/>
      </c>
      <c r="AE144" s="13">
        <f>IF(W144=0,"",LOOKUP(2,1/('Exit Log'!$A$5:$A$304=A144),'Exit Log'!$C$5:$C$304))</f>
        <v>0</v>
      </c>
      <c r="AF144" s="14">
        <f>IF(W144=0,"",LOOKUP(2,1/('Exit Log'!$A$5:$A$304=A144),'Exit Log'!$E$5:$E$304))</f>
        <v>0</v>
      </c>
      <c r="AG144" s="2"/>
      <c r="AH144" s="2"/>
      <c r="AI144" s="10"/>
      <c r="AJ144" s="2"/>
    </row>
    <row r="145" spans="1:36">
      <c r="A145" s="2"/>
      <c r="B145" s="3"/>
      <c r="C145" s="4" t="str">
        <f t="shared" si="26"/>
        <v/>
      </c>
      <c r="D145" s="5"/>
      <c r="E145" s="2"/>
      <c r="F145" s="2"/>
      <c r="G145" s="2"/>
      <c r="H145" s="2"/>
      <c r="I145" s="2"/>
      <c r="J145" s="2"/>
      <c r="K145" s="3"/>
      <c r="L145" s="4" t="str">
        <f t="shared" si="27"/>
        <v/>
      </c>
      <c r="M145" s="6"/>
      <c r="N145" s="2"/>
      <c r="O145" s="7"/>
      <c r="P145" s="8"/>
      <c r="Q145" s="8"/>
      <c r="R145" s="8"/>
      <c r="S145" s="9" t="str">
        <f t="shared" si="28"/>
        <v/>
      </c>
      <c r="T145" s="2"/>
      <c r="U145" s="10"/>
      <c r="V145" s="10"/>
      <c r="W145" s="11" t="str">
        <f>IF(A145="","",SUMIFS('Exit Log'!$I$5:$I$304,'Exit Log'!$A$5:$A$304,A145))</f>
        <v/>
      </c>
      <c r="X145" s="11" t="str">
        <f t="shared" si="29"/>
        <v/>
      </c>
      <c r="Y145" s="9" t="e">
        <f>IF(W145=0,"",SUMIFS('Exit Log'!$N$5:$N$304,'Exit Log'!$A$5:$A$304,A145)/(W145*100))</f>
        <v>#VALUE!</v>
      </c>
      <c r="Z145" s="9" t="str">
        <f>IF(A145="","",SUMIFS('Exit Log'!$N$5:$N$304,'Exit Log'!$A$5:$A$304,A145))</f>
        <v/>
      </c>
      <c r="AA145" s="9" t="str">
        <f>IF(A145="","",SUMIFS('Exit Log'!$K$5:$K$304,'Exit Log'!$A$5:$A$304,A145))</f>
        <v/>
      </c>
      <c r="AB145" s="9" t="str">
        <f>IF(A145="","",SUMIFS('Exit Log'!$P$5:$P$304,'Exit Log'!$A$5:$A$304,A145))</f>
        <v/>
      </c>
      <c r="AC145" s="12" t="e">
        <f t="shared" si="30"/>
        <v>#VALUE!</v>
      </c>
      <c r="AD145" s="4" t="str">
        <f t="shared" si="31"/>
        <v/>
      </c>
      <c r="AE145" s="13">
        <f>IF(W145=0,"",LOOKUP(2,1/('Exit Log'!$A$5:$A$304=A145),'Exit Log'!$C$5:$C$304))</f>
        <v>0</v>
      </c>
      <c r="AF145" s="14">
        <f>IF(W145=0,"",LOOKUP(2,1/('Exit Log'!$A$5:$A$304=A145),'Exit Log'!$E$5:$E$304))</f>
        <v>0</v>
      </c>
      <c r="AG145" s="2"/>
      <c r="AH145" s="2"/>
      <c r="AI145" s="10"/>
      <c r="AJ145" s="2"/>
    </row>
    <row r="146" spans="1:36">
      <c r="A146" s="2"/>
      <c r="B146" s="3"/>
      <c r="C146" s="4" t="str">
        <f t="shared" si="26"/>
        <v/>
      </c>
      <c r="D146" s="5"/>
      <c r="E146" s="2"/>
      <c r="F146" s="2"/>
      <c r="G146" s="2"/>
      <c r="H146" s="2"/>
      <c r="I146" s="2"/>
      <c r="J146" s="2"/>
      <c r="K146" s="3"/>
      <c r="L146" s="4" t="str">
        <f t="shared" si="27"/>
        <v/>
      </c>
      <c r="M146" s="6"/>
      <c r="N146" s="2"/>
      <c r="O146" s="7"/>
      <c r="P146" s="8"/>
      <c r="Q146" s="8"/>
      <c r="R146" s="8"/>
      <c r="S146" s="9" t="str">
        <f t="shared" si="28"/>
        <v/>
      </c>
      <c r="T146" s="2"/>
      <c r="U146" s="10"/>
      <c r="V146" s="10"/>
      <c r="W146" s="11" t="str">
        <f>IF(A146="","",SUMIFS('Exit Log'!$I$5:$I$304,'Exit Log'!$A$5:$A$304,A146))</f>
        <v/>
      </c>
      <c r="X146" s="11" t="str">
        <f t="shared" si="29"/>
        <v/>
      </c>
      <c r="Y146" s="9" t="e">
        <f>IF(W146=0,"",SUMIFS('Exit Log'!$N$5:$N$304,'Exit Log'!$A$5:$A$304,A146)/(W146*100))</f>
        <v>#VALUE!</v>
      </c>
      <c r="Z146" s="9" t="str">
        <f>IF(A146="","",SUMIFS('Exit Log'!$N$5:$N$304,'Exit Log'!$A$5:$A$304,A146))</f>
        <v/>
      </c>
      <c r="AA146" s="9" t="str">
        <f>IF(A146="","",SUMIFS('Exit Log'!$K$5:$K$304,'Exit Log'!$A$5:$A$304,A146))</f>
        <v/>
      </c>
      <c r="AB146" s="9" t="str">
        <f>IF(A146="","",SUMIFS('Exit Log'!$P$5:$P$304,'Exit Log'!$A$5:$A$304,A146))</f>
        <v/>
      </c>
      <c r="AC146" s="12" t="e">
        <f t="shared" si="30"/>
        <v>#VALUE!</v>
      </c>
      <c r="AD146" s="4" t="str">
        <f t="shared" si="31"/>
        <v/>
      </c>
      <c r="AE146" s="13">
        <f>IF(W146=0,"",LOOKUP(2,1/('Exit Log'!$A$5:$A$304=A146),'Exit Log'!$C$5:$C$304))</f>
        <v>0</v>
      </c>
      <c r="AF146" s="14">
        <f>IF(W146=0,"",LOOKUP(2,1/('Exit Log'!$A$5:$A$304=A146),'Exit Log'!$E$5:$E$304))</f>
        <v>0</v>
      </c>
      <c r="AG146" s="2"/>
      <c r="AH146" s="2"/>
      <c r="AI146" s="10"/>
      <c r="AJ146" s="2"/>
    </row>
    <row r="147" spans="1:36">
      <c r="A147" s="2"/>
      <c r="B147" s="3"/>
      <c r="C147" s="4" t="str">
        <f t="shared" si="26"/>
        <v/>
      </c>
      <c r="D147" s="5"/>
      <c r="E147" s="2"/>
      <c r="F147" s="2"/>
      <c r="G147" s="2"/>
      <c r="H147" s="2"/>
      <c r="I147" s="2"/>
      <c r="J147" s="2"/>
      <c r="K147" s="3"/>
      <c r="L147" s="4" t="str">
        <f t="shared" si="27"/>
        <v/>
      </c>
      <c r="M147" s="6"/>
      <c r="N147" s="2"/>
      <c r="O147" s="7"/>
      <c r="P147" s="8"/>
      <c r="Q147" s="8"/>
      <c r="R147" s="8"/>
      <c r="S147" s="9" t="str">
        <f t="shared" si="28"/>
        <v/>
      </c>
      <c r="T147" s="2"/>
      <c r="U147" s="10"/>
      <c r="V147" s="10"/>
      <c r="W147" s="11" t="str">
        <f>IF(A147="","",SUMIFS('Exit Log'!$I$5:$I$304,'Exit Log'!$A$5:$A$304,A147))</f>
        <v/>
      </c>
      <c r="X147" s="11" t="str">
        <f t="shared" si="29"/>
        <v/>
      </c>
      <c r="Y147" s="9" t="e">
        <f>IF(W147=0,"",SUMIFS('Exit Log'!$N$5:$N$304,'Exit Log'!$A$5:$A$304,A147)/(W147*100))</f>
        <v>#VALUE!</v>
      </c>
      <c r="Z147" s="9" t="str">
        <f>IF(A147="","",SUMIFS('Exit Log'!$N$5:$N$304,'Exit Log'!$A$5:$A$304,A147))</f>
        <v/>
      </c>
      <c r="AA147" s="9" t="str">
        <f>IF(A147="","",SUMIFS('Exit Log'!$K$5:$K$304,'Exit Log'!$A$5:$A$304,A147))</f>
        <v/>
      </c>
      <c r="AB147" s="9" t="str">
        <f>IF(A147="","",SUMIFS('Exit Log'!$P$5:$P$304,'Exit Log'!$A$5:$A$304,A147))</f>
        <v/>
      </c>
      <c r="AC147" s="12" t="e">
        <f t="shared" si="30"/>
        <v>#VALUE!</v>
      </c>
      <c r="AD147" s="4" t="str">
        <f t="shared" si="31"/>
        <v/>
      </c>
      <c r="AE147" s="13">
        <f>IF(W147=0,"",LOOKUP(2,1/('Exit Log'!$A$5:$A$304=A147),'Exit Log'!$C$5:$C$304))</f>
        <v>0</v>
      </c>
      <c r="AF147" s="14">
        <f>IF(W147=0,"",LOOKUP(2,1/('Exit Log'!$A$5:$A$304=A147),'Exit Log'!$E$5:$E$304))</f>
        <v>0</v>
      </c>
      <c r="AG147" s="2"/>
      <c r="AH147" s="2"/>
      <c r="AI147" s="10"/>
      <c r="AJ147" s="2"/>
    </row>
    <row r="148" spans="1:36">
      <c r="A148" s="2"/>
      <c r="B148" s="3"/>
      <c r="C148" s="4" t="str">
        <f t="shared" si="26"/>
        <v/>
      </c>
      <c r="D148" s="5"/>
      <c r="E148" s="2"/>
      <c r="F148" s="2"/>
      <c r="G148" s="2"/>
      <c r="H148" s="2"/>
      <c r="I148" s="2"/>
      <c r="J148" s="2"/>
      <c r="K148" s="3"/>
      <c r="L148" s="4" t="str">
        <f t="shared" si="27"/>
        <v/>
      </c>
      <c r="M148" s="6"/>
      <c r="N148" s="2"/>
      <c r="O148" s="7"/>
      <c r="P148" s="8"/>
      <c r="Q148" s="8"/>
      <c r="R148" s="8"/>
      <c r="S148" s="9" t="str">
        <f t="shared" si="28"/>
        <v/>
      </c>
      <c r="T148" s="2"/>
      <c r="U148" s="10"/>
      <c r="V148" s="10"/>
      <c r="W148" s="11" t="str">
        <f>IF(A148="","",SUMIFS('Exit Log'!$I$5:$I$304,'Exit Log'!$A$5:$A$304,A148))</f>
        <v/>
      </c>
      <c r="X148" s="11" t="str">
        <f t="shared" si="29"/>
        <v/>
      </c>
      <c r="Y148" s="9" t="e">
        <f>IF(W148=0,"",SUMIFS('Exit Log'!$N$5:$N$304,'Exit Log'!$A$5:$A$304,A148)/(W148*100))</f>
        <v>#VALUE!</v>
      </c>
      <c r="Z148" s="9" t="str">
        <f>IF(A148="","",SUMIFS('Exit Log'!$N$5:$N$304,'Exit Log'!$A$5:$A$304,A148))</f>
        <v/>
      </c>
      <c r="AA148" s="9" t="str">
        <f>IF(A148="","",SUMIFS('Exit Log'!$K$5:$K$304,'Exit Log'!$A$5:$A$304,A148))</f>
        <v/>
      </c>
      <c r="AB148" s="9" t="str">
        <f>IF(A148="","",SUMIFS('Exit Log'!$P$5:$P$304,'Exit Log'!$A$5:$A$304,A148))</f>
        <v/>
      </c>
      <c r="AC148" s="12" t="e">
        <f t="shared" si="30"/>
        <v>#VALUE!</v>
      </c>
      <c r="AD148" s="4" t="str">
        <f t="shared" si="31"/>
        <v/>
      </c>
      <c r="AE148" s="13">
        <f>IF(W148=0,"",LOOKUP(2,1/('Exit Log'!$A$5:$A$304=A148),'Exit Log'!$C$5:$C$304))</f>
        <v>0</v>
      </c>
      <c r="AF148" s="14">
        <f>IF(W148=0,"",LOOKUP(2,1/('Exit Log'!$A$5:$A$304=A148),'Exit Log'!$E$5:$E$304))</f>
        <v>0</v>
      </c>
      <c r="AG148" s="2"/>
      <c r="AH148" s="2"/>
      <c r="AI148" s="10"/>
      <c r="AJ148" s="2"/>
    </row>
    <row r="149" spans="1:36">
      <c r="A149" s="2"/>
      <c r="B149" s="3"/>
      <c r="C149" s="4" t="str">
        <f t="shared" si="26"/>
        <v/>
      </c>
      <c r="D149" s="5"/>
      <c r="E149" s="2"/>
      <c r="F149" s="2"/>
      <c r="G149" s="2"/>
      <c r="H149" s="2"/>
      <c r="I149" s="2"/>
      <c r="J149" s="2"/>
      <c r="K149" s="3"/>
      <c r="L149" s="4" t="str">
        <f t="shared" si="27"/>
        <v/>
      </c>
      <c r="M149" s="6"/>
      <c r="N149" s="2"/>
      <c r="O149" s="7"/>
      <c r="P149" s="8"/>
      <c r="Q149" s="8"/>
      <c r="R149" s="8"/>
      <c r="S149" s="9" t="str">
        <f t="shared" si="28"/>
        <v/>
      </c>
      <c r="T149" s="2"/>
      <c r="U149" s="10"/>
      <c r="V149" s="10"/>
      <c r="W149" s="11" t="str">
        <f>IF(A149="","",SUMIFS('Exit Log'!$I$5:$I$304,'Exit Log'!$A$5:$A$304,A149))</f>
        <v/>
      </c>
      <c r="X149" s="11" t="str">
        <f t="shared" si="29"/>
        <v/>
      </c>
      <c r="Y149" s="9" t="e">
        <f>IF(W149=0,"",SUMIFS('Exit Log'!$N$5:$N$304,'Exit Log'!$A$5:$A$304,A149)/(W149*100))</f>
        <v>#VALUE!</v>
      </c>
      <c r="Z149" s="9" t="str">
        <f>IF(A149="","",SUMIFS('Exit Log'!$N$5:$N$304,'Exit Log'!$A$5:$A$304,A149))</f>
        <v/>
      </c>
      <c r="AA149" s="9" t="str">
        <f>IF(A149="","",SUMIFS('Exit Log'!$K$5:$K$304,'Exit Log'!$A$5:$A$304,A149))</f>
        <v/>
      </c>
      <c r="AB149" s="9" t="str">
        <f>IF(A149="","",SUMIFS('Exit Log'!$P$5:$P$304,'Exit Log'!$A$5:$A$304,A149))</f>
        <v/>
      </c>
      <c r="AC149" s="12" t="e">
        <f t="shared" si="30"/>
        <v>#VALUE!</v>
      </c>
      <c r="AD149" s="4" t="str">
        <f t="shared" si="31"/>
        <v/>
      </c>
      <c r="AE149" s="13">
        <f>IF(W149=0,"",LOOKUP(2,1/('Exit Log'!$A$5:$A$304=A149),'Exit Log'!$C$5:$C$304))</f>
        <v>0</v>
      </c>
      <c r="AF149" s="14">
        <f>IF(W149=0,"",LOOKUP(2,1/('Exit Log'!$A$5:$A$304=A149),'Exit Log'!$E$5:$E$304))</f>
        <v>0</v>
      </c>
      <c r="AG149" s="2"/>
      <c r="AH149" s="2"/>
      <c r="AI149" s="10"/>
      <c r="AJ149" s="2"/>
    </row>
    <row r="150" spans="1:36">
      <c r="A150" s="2"/>
      <c r="B150" s="3"/>
      <c r="C150" s="4" t="str">
        <f t="shared" si="26"/>
        <v/>
      </c>
      <c r="D150" s="5"/>
      <c r="E150" s="2"/>
      <c r="F150" s="2"/>
      <c r="G150" s="2"/>
      <c r="H150" s="2"/>
      <c r="I150" s="2"/>
      <c r="J150" s="2"/>
      <c r="K150" s="3"/>
      <c r="L150" s="4" t="str">
        <f t="shared" si="27"/>
        <v/>
      </c>
      <c r="M150" s="6"/>
      <c r="N150" s="2"/>
      <c r="O150" s="7"/>
      <c r="P150" s="8"/>
      <c r="Q150" s="8"/>
      <c r="R150" s="8"/>
      <c r="S150" s="9" t="str">
        <f t="shared" si="28"/>
        <v/>
      </c>
      <c r="T150" s="2"/>
      <c r="U150" s="10"/>
      <c r="V150" s="10"/>
      <c r="W150" s="11" t="str">
        <f>IF(A150="","",SUMIFS('Exit Log'!$I$5:$I$304,'Exit Log'!$A$5:$A$304,A150))</f>
        <v/>
      </c>
      <c r="X150" s="11" t="str">
        <f t="shared" si="29"/>
        <v/>
      </c>
      <c r="Y150" s="9" t="e">
        <f>IF(W150=0,"",SUMIFS('Exit Log'!$N$5:$N$304,'Exit Log'!$A$5:$A$304,A150)/(W150*100))</f>
        <v>#VALUE!</v>
      </c>
      <c r="Z150" s="9" t="str">
        <f>IF(A150="","",SUMIFS('Exit Log'!$N$5:$N$304,'Exit Log'!$A$5:$A$304,A150))</f>
        <v/>
      </c>
      <c r="AA150" s="9" t="str">
        <f>IF(A150="","",SUMIFS('Exit Log'!$K$5:$K$304,'Exit Log'!$A$5:$A$304,A150))</f>
        <v/>
      </c>
      <c r="AB150" s="9" t="str">
        <f>IF(A150="","",SUMIFS('Exit Log'!$P$5:$P$304,'Exit Log'!$A$5:$A$304,A150))</f>
        <v/>
      </c>
      <c r="AC150" s="12" t="e">
        <f t="shared" si="30"/>
        <v>#VALUE!</v>
      </c>
      <c r="AD150" s="4" t="str">
        <f t="shared" si="31"/>
        <v/>
      </c>
      <c r="AE150" s="13">
        <f>IF(W150=0,"",LOOKUP(2,1/('Exit Log'!$A$5:$A$304=A150),'Exit Log'!$C$5:$C$304))</f>
        <v>0</v>
      </c>
      <c r="AF150" s="14">
        <f>IF(W150=0,"",LOOKUP(2,1/('Exit Log'!$A$5:$A$304=A150),'Exit Log'!$E$5:$E$304))</f>
        <v>0</v>
      </c>
      <c r="AG150" s="2"/>
      <c r="AH150" s="2"/>
      <c r="AI150" s="10"/>
      <c r="AJ150" s="2"/>
    </row>
    <row r="151" spans="1:36">
      <c r="A151" s="2"/>
      <c r="B151" s="3"/>
      <c r="C151" s="4" t="str">
        <f t="shared" si="26"/>
        <v/>
      </c>
      <c r="D151" s="5"/>
      <c r="E151" s="2"/>
      <c r="F151" s="2"/>
      <c r="G151" s="2"/>
      <c r="H151" s="2"/>
      <c r="I151" s="2"/>
      <c r="J151" s="2"/>
      <c r="K151" s="3"/>
      <c r="L151" s="4" t="str">
        <f t="shared" si="27"/>
        <v/>
      </c>
      <c r="M151" s="6"/>
      <c r="N151" s="2"/>
      <c r="O151" s="7"/>
      <c r="P151" s="8"/>
      <c r="Q151" s="8"/>
      <c r="R151" s="8"/>
      <c r="S151" s="9" t="str">
        <f t="shared" si="28"/>
        <v/>
      </c>
      <c r="T151" s="2"/>
      <c r="U151" s="10"/>
      <c r="V151" s="10"/>
      <c r="W151" s="11" t="str">
        <f>IF(A151="","",SUMIFS('Exit Log'!$I$5:$I$304,'Exit Log'!$A$5:$A$304,A151))</f>
        <v/>
      </c>
      <c r="X151" s="11" t="str">
        <f t="shared" si="29"/>
        <v/>
      </c>
      <c r="Y151" s="9" t="e">
        <f>IF(W151=0,"",SUMIFS('Exit Log'!$N$5:$N$304,'Exit Log'!$A$5:$A$304,A151)/(W151*100))</f>
        <v>#VALUE!</v>
      </c>
      <c r="Z151" s="9" t="str">
        <f>IF(A151="","",SUMIFS('Exit Log'!$N$5:$N$304,'Exit Log'!$A$5:$A$304,A151))</f>
        <v/>
      </c>
      <c r="AA151" s="9" t="str">
        <f>IF(A151="","",SUMIFS('Exit Log'!$K$5:$K$304,'Exit Log'!$A$5:$A$304,A151))</f>
        <v/>
      </c>
      <c r="AB151" s="9" t="str">
        <f>IF(A151="","",SUMIFS('Exit Log'!$P$5:$P$304,'Exit Log'!$A$5:$A$304,A151))</f>
        <v/>
      </c>
      <c r="AC151" s="12" t="e">
        <f t="shared" si="30"/>
        <v>#VALUE!</v>
      </c>
      <c r="AD151" s="4" t="str">
        <f t="shared" si="31"/>
        <v/>
      </c>
      <c r="AE151" s="13">
        <f>IF(W151=0,"",LOOKUP(2,1/('Exit Log'!$A$5:$A$304=A151),'Exit Log'!$C$5:$C$304))</f>
        <v>0</v>
      </c>
      <c r="AF151" s="14">
        <f>IF(W151=0,"",LOOKUP(2,1/('Exit Log'!$A$5:$A$304=A151),'Exit Log'!$E$5:$E$304))</f>
        <v>0</v>
      </c>
      <c r="AG151" s="2"/>
      <c r="AH151" s="2"/>
      <c r="AI151" s="10"/>
      <c r="AJ151" s="2"/>
    </row>
    <row r="152" spans="1:36">
      <c r="A152" s="2"/>
      <c r="B152" s="3"/>
      <c r="C152" s="4" t="str">
        <f t="shared" si="26"/>
        <v/>
      </c>
      <c r="D152" s="5"/>
      <c r="E152" s="2"/>
      <c r="F152" s="2"/>
      <c r="G152" s="2"/>
      <c r="H152" s="2"/>
      <c r="I152" s="2"/>
      <c r="J152" s="2"/>
      <c r="K152" s="3"/>
      <c r="L152" s="4" t="str">
        <f t="shared" si="27"/>
        <v/>
      </c>
      <c r="M152" s="6"/>
      <c r="N152" s="2"/>
      <c r="O152" s="7"/>
      <c r="P152" s="8"/>
      <c r="Q152" s="8"/>
      <c r="R152" s="8"/>
      <c r="S152" s="9" t="str">
        <f t="shared" si="28"/>
        <v/>
      </c>
      <c r="T152" s="2"/>
      <c r="U152" s="10"/>
      <c r="V152" s="10"/>
      <c r="W152" s="11" t="str">
        <f>IF(A152="","",SUMIFS('Exit Log'!$I$5:$I$304,'Exit Log'!$A$5:$A$304,A152))</f>
        <v/>
      </c>
      <c r="X152" s="11" t="str">
        <f t="shared" si="29"/>
        <v/>
      </c>
      <c r="Y152" s="9" t="e">
        <f>IF(W152=0,"",SUMIFS('Exit Log'!$N$5:$N$304,'Exit Log'!$A$5:$A$304,A152)/(W152*100))</f>
        <v>#VALUE!</v>
      </c>
      <c r="Z152" s="9" t="str">
        <f>IF(A152="","",SUMIFS('Exit Log'!$N$5:$N$304,'Exit Log'!$A$5:$A$304,A152))</f>
        <v/>
      </c>
      <c r="AA152" s="9" t="str">
        <f>IF(A152="","",SUMIFS('Exit Log'!$K$5:$K$304,'Exit Log'!$A$5:$A$304,A152))</f>
        <v/>
      </c>
      <c r="AB152" s="9" t="str">
        <f>IF(A152="","",SUMIFS('Exit Log'!$P$5:$P$304,'Exit Log'!$A$5:$A$304,A152))</f>
        <v/>
      </c>
      <c r="AC152" s="12" t="e">
        <f t="shared" si="30"/>
        <v>#VALUE!</v>
      </c>
      <c r="AD152" s="4" t="str">
        <f t="shared" si="31"/>
        <v/>
      </c>
      <c r="AE152" s="13">
        <f>IF(W152=0,"",LOOKUP(2,1/('Exit Log'!$A$5:$A$304=A152),'Exit Log'!$C$5:$C$304))</f>
        <v>0</v>
      </c>
      <c r="AF152" s="14">
        <f>IF(W152=0,"",LOOKUP(2,1/('Exit Log'!$A$5:$A$304=A152),'Exit Log'!$E$5:$E$304))</f>
        <v>0</v>
      </c>
      <c r="AG152" s="2"/>
      <c r="AH152" s="2"/>
      <c r="AI152" s="10"/>
      <c r="AJ152" s="2"/>
    </row>
    <row r="153" spans="1:36">
      <c r="A153" s="2"/>
      <c r="B153" s="3"/>
      <c r="C153" s="4" t="str">
        <f t="shared" si="26"/>
        <v/>
      </c>
      <c r="D153" s="5"/>
      <c r="E153" s="2"/>
      <c r="F153" s="2"/>
      <c r="G153" s="2"/>
      <c r="H153" s="2"/>
      <c r="I153" s="2"/>
      <c r="J153" s="2"/>
      <c r="K153" s="3"/>
      <c r="L153" s="4" t="str">
        <f t="shared" si="27"/>
        <v/>
      </c>
      <c r="M153" s="6"/>
      <c r="N153" s="2"/>
      <c r="O153" s="7"/>
      <c r="P153" s="8"/>
      <c r="Q153" s="8"/>
      <c r="R153" s="8"/>
      <c r="S153" s="9" t="str">
        <f t="shared" si="28"/>
        <v/>
      </c>
      <c r="T153" s="2"/>
      <c r="U153" s="10"/>
      <c r="V153" s="10"/>
      <c r="W153" s="11" t="str">
        <f>IF(A153="","",SUMIFS('Exit Log'!$I$5:$I$304,'Exit Log'!$A$5:$A$304,A153))</f>
        <v/>
      </c>
      <c r="X153" s="11" t="str">
        <f t="shared" si="29"/>
        <v/>
      </c>
      <c r="Y153" s="9" t="e">
        <f>IF(W153=0,"",SUMIFS('Exit Log'!$N$5:$N$304,'Exit Log'!$A$5:$A$304,A153)/(W153*100))</f>
        <v>#VALUE!</v>
      </c>
      <c r="Z153" s="9" t="str">
        <f>IF(A153="","",SUMIFS('Exit Log'!$N$5:$N$304,'Exit Log'!$A$5:$A$304,A153))</f>
        <v/>
      </c>
      <c r="AA153" s="9" t="str">
        <f>IF(A153="","",SUMIFS('Exit Log'!$K$5:$K$304,'Exit Log'!$A$5:$A$304,A153))</f>
        <v/>
      </c>
      <c r="AB153" s="9" t="str">
        <f>IF(A153="","",SUMIFS('Exit Log'!$P$5:$P$304,'Exit Log'!$A$5:$A$304,A153))</f>
        <v/>
      </c>
      <c r="AC153" s="12" t="e">
        <f t="shared" si="30"/>
        <v>#VALUE!</v>
      </c>
      <c r="AD153" s="4" t="str">
        <f t="shared" si="31"/>
        <v/>
      </c>
      <c r="AE153" s="13">
        <f>IF(W153=0,"",LOOKUP(2,1/('Exit Log'!$A$5:$A$304=A153),'Exit Log'!$C$5:$C$304))</f>
        <v>0</v>
      </c>
      <c r="AF153" s="14">
        <f>IF(W153=0,"",LOOKUP(2,1/('Exit Log'!$A$5:$A$304=A153),'Exit Log'!$E$5:$E$304))</f>
        <v>0</v>
      </c>
      <c r="AG153" s="2"/>
      <c r="AH153" s="2"/>
      <c r="AI153" s="10"/>
      <c r="AJ153" s="2"/>
    </row>
    <row r="154" spans="1:36">
      <c r="A154" s="2"/>
      <c r="B154" s="3"/>
      <c r="C154" s="4" t="str">
        <f t="shared" si="26"/>
        <v/>
      </c>
      <c r="D154" s="5"/>
      <c r="E154" s="2"/>
      <c r="F154" s="2"/>
      <c r="G154" s="2"/>
      <c r="H154" s="2"/>
      <c r="I154" s="2"/>
      <c r="J154" s="2"/>
      <c r="K154" s="3"/>
      <c r="L154" s="4" t="str">
        <f t="shared" si="27"/>
        <v/>
      </c>
      <c r="M154" s="6"/>
      <c r="N154" s="2"/>
      <c r="O154" s="7"/>
      <c r="P154" s="8"/>
      <c r="Q154" s="8"/>
      <c r="R154" s="8"/>
      <c r="S154" s="9" t="str">
        <f t="shared" si="28"/>
        <v/>
      </c>
      <c r="T154" s="2"/>
      <c r="U154" s="10"/>
      <c r="V154" s="10"/>
      <c r="W154" s="11" t="str">
        <f>IF(A154="","",SUMIFS('Exit Log'!$I$5:$I$304,'Exit Log'!$A$5:$A$304,A154))</f>
        <v/>
      </c>
      <c r="X154" s="11" t="str">
        <f t="shared" si="29"/>
        <v/>
      </c>
      <c r="Y154" s="9" t="e">
        <f>IF(W154=0,"",SUMIFS('Exit Log'!$N$5:$N$304,'Exit Log'!$A$5:$A$304,A154)/(W154*100))</f>
        <v>#VALUE!</v>
      </c>
      <c r="Z154" s="9" t="str">
        <f>IF(A154="","",SUMIFS('Exit Log'!$N$5:$N$304,'Exit Log'!$A$5:$A$304,A154))</f>
        <v/>
      </c>
      <c r="AA154" s="9" t="str">
        <f>IF(A154="","",SUMIFS('Exit Log'!$K$5:$K$304,'Exit Log'!$A$5:$A$304,A154))</f>
        <v/>
      </c>
      <c r="AB154" s="9" t="str">
        <f>IF(A154="","",SUMIFS('Exit Log'!$P$5:$P$304,'Exit Log'!$A$5:$A$304,A154))</f>
        <v/>
      </c>
      <c r="AC154" s="12" t="e">
        <f t="shared" si="30"/>
        <v>#VALUE!</v>
      </c>
      <c r="AD154" s="4" t="str">
        <f t="shared" si="31"/>
        <v/>
      </c>
      <c r="AE154" s="13">
        <f>IF(W154=0,"",LOOKUP(2,1/('Exit Log'!$A$5:$A$304=A154),'Exit Log'!$C$5:$C$304))</f>
        <v>0</v>
      </c>
      <c r="AF154" s="14">
        <f>IF(W154=0,"",LOOKUP(2,1/('Exit Log'!$A$5:$A$304=A154),'Exit Log'!$E$5:$E$304))</f>
        <v>0</v>
      </c>
      <c r="AG154" s="2"/>
      <c r="AH154" s="2"/>
      <c r="AI154" s="10"/>
      <c r="AJ154" s="2"/>
    </row>
    <row r="155" spans="1:36">
      <c r="A155" s="2"/>
      <c r="B155" s="3"/>
      <c r="C155" s="4" t="str">
        <f t="shared" si="26"/>
        <v/>
      </c>
      <c r="D155" s="5"/>
      <c r="E155" s="2"/>
      <c r="F155" s="2"/>
      <c r="G155" s="2"/>
      <c r="H155" s="2"/>
      <c r="I155" s="2"/>
      <c r="J155" s="2"/>
      <c r="K155" s="3"/>
      <c r="L155" s="4" t="str">
        <f t="shared" si="27"/>
        <v/>
      </c>
      <c r="M155" s="6"/>
      <c r="N155" s="2"/>
      <c r="O155" s="7"/>
      <c r="P155" s="8"/>
      <c r="Q155" s="8"/>
      <c r="R155" s="8"/>
      <c r="S155" s="9" t="str">
        <f t="shared" si="28"/>
        <v/>
      </c>
      <c r="T155" s="2"/>
      <c r="U155" s="10"/>
      <c r="V155" s="10"/>
      <c r="W155" s="11" t="str">
        <f>IF(A155="","",SUMIFS('Exit Log'!$I$5:$I$304,'Exit Log'!$A$5:$A$304,A155))</f>
        <v/>
      </c>
      <c r="X155" s="11" t="str">
        <f t="shared" si="29"/>
        <v/>
      </c>
      <c r="Y155" s="9" t="e">
        <f>IF(W155=0,"",SUMIFS('Exit Log'!$N$5:$N$304,'Exit Log'!$A$5:$A$304,A155)/(W155*100))</f>
        <v>#VALUE!</v>
      </c>
      <c r="Z155" s="9" t="str">
        <f>IF(A155="","",SUMIFS('Exit Log'!$N$5:$N$304,'Exit Log'!$A$5:$A$304,A155))</f>
        <v/>
      </c>
      <c r="AA155" s="9" t="str">
        <f>IF(A155="","",SUMIFS('Exit Log'!$K$5:$K$304,'Exit Log'!$A$5:$A$304,A155))</f>
        <v/>
      </c>
      <c r="AB155" s="9" t="str">
        <f>IF(A155="","",SUMIFS('Exit Log'!$P$5:$P$304,'Exit Log'!$A$5:$A$304,A155))</f>
        <v/>
      </c>
      <c r="AC155" s="12" t="e">
        <f t="shared" si="30"/>
        <v>#VALUE!</v>
      </c>
      <c r="AD155" s="4" t="str">
        <f t="shared" si="31"/>
        <v/>
      </c>
      <c r="AE155" s="13">
        <f>IF(W155=0,"",LOOKUP(2,1/('Exit Log'!$A$5:$A$304=A155),'Exit Log'!$C$5:$C$304))</f>
        <v>0</v>
      </c>
      <c r="AF155" s="14">
        <f>IF(W155=0,"",LOOKUP(2,1/('Exit Log'!$A$5:$A$304=A155),'Exit Log'!$E$5:$E$304))</f>
        <v>0</v>
      </c>
      <c r="AG155" s="2"/>
      <c r="AH155" s="2"/>
      <c r="AI155" s="10"/>
      <c r="AJ155" s="2"/>
    </row>
    <row r="156" spans="1:36">
      <c r="A156" s="2"/>
      <c r="B156" s="3"/>
      <c r="C156" s="4" t="str">
        <f t="shared" si="26"/>
        <v/>
      </c>
      <c r="D156" s="5"/>
      <c r="E156" s="2"/>
      <c r="F156" s="2"/>
      <c r="G156" s="2"/>
      <c r="H156" s="2"/>
      <c r="I156" s="2"/>
      <c r="J156" s="2"/>
      <c r="K156" s="3"/>
      <c r="L156" s="4" t="str">
        <f t="shared" si="27"/>
        <v/>
      </c>
      <c r="M156" s="6"/>
      <c r="N156" s="2"/>
      <c r="O156" s="7"/>
      <c r="P156" s="8"/>
      <c r="Q156" s="8"/>
      <c r="R156" s="8"/>
      <c r="S156" s="9" t="str">
        <f t="shared" si="28"/>
        <v/>
      </c>
      <c r="T156" s="2"/>
      <c r="U156" s="10"/>
      <c r="V156" s="10"/>
      <c r="W156" s="11" t="str">
        <f>IF(A156="","",SUMIFS('Exit Log'!$I$5:$I$304,'Exit Log'!$A$5:$A$304,A156))</f>
        <v/>
      </c>
      <c r="X156" s="11" t="str">
        <f t="shared" si="29"/>
        <v/>
      </c>
      <c r="Y156" s="9" t="e">
        <f>IF(W156=0,"",SUMIFS('Exit Log'!$N$5:$N$304,'Exit Log'!$A$5:$A$304,A156)/(W156*100))</f>
        <v>#VALUE!</v>
      </c>
      <c r="Z156" s="9" t="str">
        <f>IF(A156="","",SUMIFS('Exit Log'!$N$5:$N$304,'Exit Log'!$A$5:$A$304,A156))</f>
        <v/>
      </c>
      <c r="AA156" s="9" t="str">
        <f>IF(A156="","",SUMIFS('Exit Log'!$K$5:$K$304,'Exit Log'!$A$5:$A$304,A156))</f>
        <v/>
      </c>
      <c r="AB156" s="9" t="str">
        <f>IF(A156="","",SUMIFS('Exit Log'!$P$5:$P$304,'Exit Log'!$A$5:$A$304,A156))</f>
        <v/>
      </c>
      <c r="AC156" s="12" t="e">
        <f t="shared" si="30"/>
        <v>#VALUE!</v>
      </c>
      <c r="AD156" s="4" t="str">
        <f t="shared" si="31"/>
        <v/>
      </c>
      <c r="AE156" s="13">
        <f>IF(W156=0,"",LOOKUP(2,1/('Exit Log'!$A$5:$A$304=A156),'Exit Log'!$C$5:$C$304))</f>
        <v>0</v>
      </c>
      <c r="AF156" s="14">
        <f>IF(W156=0,"",LOOKUP(2,1/('Exit Log'!$A$5:$A$304=A156),'Exit Log'!$E$5:$E$304))</f>
        <v>0</v>
      </c>
      <c r="AG156" s="2"/>
      <c r="AH156" s="2"/>
      <c r="AI156" s="10"/>
      <c r="AJ156" s="2"/>
    </row>
    <row r="157" spans="1:36">
      <c r="A157" s="2"/>
      <c r="B157" s="3"/>
      <c r="C157" s="4" t="str">
        <f t="shared" si="26"/>
        <v/>
      </c>
      <c r="D157" s="5"/>
      <c r="E157" s="2"/>
      <c r="F157" s="2"/>
      <c r="G157" s="2"/>
      <c r="H157" s="2"/>
      <c r="I157" s="2"/>
      <c r="J157" s="2"/>
      <c r="K157" s="3"/>
      <c r="L157" s="4" t="str">
        <f t="shared" si="27"/>
        <v/>
      </c>
      <c r="M157" s="6"/>
      <c r="N157" s="2"/>
      <c r="O157" s="7"/>
      <c r="P157" s="8"/>
      <c r="Q157" s="8"/>
      <c r="R157" s="8"/>
      <c r="S157" s="9" t="str">
        <f t="shared" si="28"/>
        <v/>
      </c>
      <c r="T157" s="2"/>
      <c r="U157" s="10"/>
      <c r="V157" s="10"/>
      <c r="W157" s="11" t="str">
        <f>IF(A157="","",SUMIFS('Exit Log'!$I$5:$I$304,'Exit Log'!$A$5:$A$304,A157))</f>
        <v/>
      </c>
      <c r="X157" s="11" t="str">
        <f t="shared" si="29"/>
        <v/>
      </c>
      <c r="Y157" s="9" t="e">
        <f>IF(W157=0,"",SUMIFS('Exit Log'!$N$5:$N$304,'Exit Log'!$A$5:$A$304,A157)/(W157*100))</f>
        <v>#VALUE!</v>
      </c>
      <c r="Z157" s="9" t="str">
        <f>IF(A157="","",SUMIFS('Exit Log'!$N$5:$N$304,'Exit Log'!$A$5:$A$304,A157))</f>
        <v/>
      </c>
      <c r="AA157" s="9" t="str">
        <f>IF(A157="","",SUMIFS('Exit Log'!$K$5:$K$304,'Exit Log'!$A$5:$A$304,A157))</f>
        <v/>
      </c>
      <c r="AB157" s="9" t="str">
        <f>IF(A157="","",SUMIFS('Exit Log'!$P$5:$P$304,'Exit Log'!$A$5:$A$304,A157))</f>
        <v/>
      </c>
      <c r="AC157" s="12" t="e">
        <f t="shared" si="30"/>
        <v>#VALUE!</v>
      </c>
      <c r="AD157" s="4" t="str">
        <f t="shared" si="31"/>
        <v/>
      </c>
      <c r="AE157" s="13">
        <f>IF(W157=0,"",LOOKUP(2,1/('Exit Log'!$A$5:$A$304=A157),'Exit Log'!$C$5:$C$304))</f>
        <v>0</v>
      </c>
      <c r="AF157" s="14">
        <f>IF(W157=0,"",LOOKUP(2,1/('Exit Log'!$A$5:$A$304=A157),'Exit Log'!$E$5:$E$304))</f>
        <v>0</v>
      </c>
      <c r="AG157" s="2"/>
      <c r="AH157" s="2"/>
      <c r="AI157" s="10"/>
      <c r="AJ157" s="2"/>
    </row>
    <row r="158" spans="1:36">
      <c r="A158" s="2"/>
      <c r="B158" s="3"/>
      <c r="C158" s="4" t="str">
        <f t="shared" si="26"/>
        <v/>
      </c>
      <c r="D158" s="5"/>
      <c r="E158" s="2"/>
      <c r="F158" s="2"/>
      <c r="G158" s="2"/>
      <c r="H158" s="2"/>
      <c r="I158" s="2"/>
      <c r="J158" s="2"/>
      <c r="K158" s="3"/>
      <c r="L158" s="4" t="str">
        <f t="shared" si="27"/>
        <v/>
      </c>
      <c r="M158" s="6"/>
      <c r="N158" s="2"/>
      <c r="O158" s="7"/>
      <c r="P158" s="8"/>
      <c r="Q158" s="8"/>
      <c r="R158" s="8"/>
      <c r="S158" s="9" t="str">
        <f t="shared" si="28"/>
        <v/>
      </c>
      <c r="T158" s="2"/>
      <c r="U158" s="10"/>
      <c r="V158" s="10"/>
      <c r="W158" s="11" t="str">
        <f>IF(A158="","",SUMIFS('Exit Log'!$I$5:$I$304,'Exit Log'!$A$5:$A$304,A158))</f>
        <v/>
      </c>
      <c r="X158" s="11" t="str">
        <f t="shared" si="29"/>
        <v/>
      </c>
      <c r="Y158" s="9" t="e">
        <f>IF(W158=0,"",SUMIFS('Exit Log'!$N$5:$N$304,'Exit Log'!$A$5:$A$304,A158)/(W158*100))</f>
        <v>#VALUE!</v>
      </c>
      <c r="Z158" s="9" t="str">
        <f>IF(A158="","",SUMIFS('Exit Log'!$N$5:$N$304,'Exit Log'!$A$5:$A$304,A158))</f>
        <v/>
      </c>
      <c r="AA158" s="9" t="str">
        <f>IF(A158="","",SUMIFS('Exit Log'!$K$5:$K$304,'Exit Log'!$A$5:$A$304,A158))</f>
        <v/>
      </c>
      <c r="AB158" s="9" t="str">
        <f>IF(A158="","",SUMIFS('Exit Log'!$P$5:$P$304,'Exit Log'!$A$5:$A$304,A158))</f>
        <v/>
      </c>
      <c r="AC158" s="12" t="e">
        <f t="shared" si="30"/>
        <v>#VALUE!</v>
      </c>
      <c r="AD158" s="4" t="str">
        <f t="shared" si="31"/>
        <v/>
      </c>
      <c r="AE158" s="13">
        <f>IF(W158=0,"",LOOKUP(2,1/('Exit Log'!$A$5:$A$304=A158),'Exit Log'!$C$5:$C$304))</f>
        <v>0</v>
      </c>
      <c r="AF158" s="14">
        <f>IF(W158=0,"",LOOKUP(2,1/('Exit Log'!$A$5:$A$304=A158),'Exit Log'!$E$5:$E$304))</f>
        <v>0</v>
      </c>
      <c r="AG158" s="2"/>
      <c r="AH158" s="2"/>
      <c r="AI158" s="10"/>
      <c r="AJ158" s="2"/>
    </row>
    <row r="159" spans="1:36">
      <c r="A159" s="2"/>
      <c r="B159" s="3"/>
      <c r="C159" s="4" t="str">
        <f t="shared" si="26"/>
        <v/>
      </c>
      <c r="D159" s="5"/>
      <c r="E159" s="2"/>
      <c r="F159" s="2"/>
      <c r="G159" s="2"/>
      <c r="H159" s="2"/>
      <c r="I159" s="2"/>
      <c r="J159" s="2"/>
      <c r="K159" s="3"/>
      <c r="L159" s="4" t="str">
        <f t="shared" si="27"/>
        <v/>
      </c>
      <c r="M159" s="6"/>
      <c r="N159" s="2"/>
      <c r="O159" s="7"/>
      <c r="P159" s="8"/>
      <c r="Q159" s="8"/>
      <c r="R159" s="8"/>
      <c r="S159" s="9" t="str">
        <f t="shared" si="28"/>
        <v/>
      </c>
      <c r="T159" s="2"/>
      <c r="U159" s="10"/>
      <c r="V159" s="10"/>
      <c r="W159" s="11" t="str">
        <f>IF(A159="","",SUMIFS('Exit Log'!$I$5:$I$304,'Exit Log'!$A$5:$A$304,A159))</f>
        <v/>
      </c>
      <c r="X159" s="11" t="str">
        <f t="shared" si="29"/>
        <v/>
      </c>
      <c r="Y159" s="9" t="e">
        <f>IF(W159=0,"",SUMIFS('Exit Log'!$N$5:$N$304,'Exit Log'!$A$5:$A$304,A159)/(W159*100))</f>
        <v>#VALUE!</v>
      </c>
      <c r="Z159" s="9" t="str">
        <f>IF(A159="","",SUMIFS('Exit Log'!$N$5:$N$304,'Exit Log'!$A$5:$A$304,A159))</f>
        <v/>
      </c>
      <c r="AA159" s="9" t="str">
        <f>IF(A159="","",SUMIFS('Exit Log'!$K$5:$K$304,'Exit Log'!$A$5:$A$304,A159))</f>
        <v/>
      </c>
      <c r="AB159" s="9" t="str">
        <f>IF(A159="","",SUMIFS('Exit Log'!$P$5:$P$304,'Exit Log'!$A$5:$A$304,A159))</f>
        <v/>
      </c>
      <c r="AC159" s="12" t="e">
        <f t="shared" si="30"/>
        <v>#VALUE!</v>
      </c>
      <c r="AD159" s="4" t="str">
        <f t="shared" si="31"/>
        <v/>
      </c>
      <c r="AE159" s="13">
        <f>IF(W159=0,"",LOOKUP(2,1/('Exit Log'!$A$5:$A$304=A159),'Exit Log'!$C$5:$C$304))</f>
        <v>0</v>
      </c>
      <c r="AF159" s="14">
        <f>IF(W159=0,"",LOOKUP(2,1/('Exit Log'!$A$5:$A$304=A159),'Exit Log'!$E$5:$E$304))</f>
        <v>0</v>
      </c>
      <c r="AG159" s="2"/>
      <c r="AH159" s="2"/>
      <c r="AI159" s="10"/>
      <c r="AJ159" s="2"/>
    </row>
    <row r="160" spans="1:36">
      <c r="A160" s="2"/>
      <c r="B160" s="3"/>
      <c r="C160" s="4" t="str">
        <f t="shared" si="26"/>
        <v/>
      </c>
      <c r="D160" s="5"/>
      <c r="E160" s="2"/>
      <c r="F160" s="2"/>
      <c r="G160" s="2"/>
      <c r="H160" s="2"/>
      <c r="I160" s="2"/>
      <c r="J160" s="2"/>
      <c r="K160" s="3"/>
      <c r="L160" s="4" t="str">
        <f t="shared" si="27"/>
        <v/>
      </c>
      <c r="M160" s="6"/>
      <c r="N160" s="2"/>
      <c r="O160" s="7"/>
      <c r="P160" s="8"/>
      <c r="Q160" s="8"/>
      <c r="R160" s="8"/>
      <c r="S160" s="9" t="str">
        <f t="shared" si="28"/>
        <v/>
      </c>
      <c r="T160" s="2"/>
      <c r="U160" s="10"/>
      <c r="V160" s="10"/>
      <c r="W160" s="11" t="str">
        <f>IF(A160="","",SUMIFS('Exit Log'!$I$5:$I$304,'Exit Log'!$A$5:$A$304,A160))</f>
        <v/>
      </c>
      <c r="X160" s="11" t="str">
        <f t="shared" si="29"/>
        <v/>
      </c>
      <c r="Y160" s="9" t="e">
        <f>IF(W160=0,"",SUMIFS('Exit Log'!$N$5:$N$304,'Exit Log'!$A$5:$A$304,A160)/(W160*100))</f>
        <v>#VALUE!</v>
      </c>
      <c r="Z160" s="9" t="str">
        <f>IF(A160="","",SUMIFS('Exit Log'!$N$5:$N$304,'Exit Log'!$A$5:$A$304,A160))</f>
        <v/>
      </c>
      <c r="AA160" s="9" t="str">
        <f>IF(A160="","",SUMIFS('Exit Log'!$K$5:$K$304,'Exit Log'!$A$5:$A$304,A160))</f>
        <v/>
      </c>
      <c r="AB160" s="9" t="str">
        <f>IF(A160="","",SUMIFS('Exit Log'!$P$5:$P$304,'Exit Log'!$A$5:$A$304,A160))</f>
        <v/>
      </c>
      <c r="AC160" s="12" t="e">
        <f t="shared" si="30"/>
        <v>#VALUE!</v>
      </c>
      <c r="AD160" s="4" t="str">
        <f t="shared" si="31"/>
        <v/>
      </c>
      <c r="AE160" s="13">
        <f>IF(W160=0,"",LOOKUP(2,1/('Exit Log'!$A$5:$A$304=A160),'Exit Log'!$C$5:$C$304))</f>
        <v>0</v>
      </c>
      <c r="AF160" s="14">
        <f>IF(W160=0,"",LOOKUP(2,1/('Exit Log'!$A$5:$A$304=A160),'Exit Log'!$E$5:$E$304))</f>
        <v>0</v>
      </c>
      <c r="AG160" s="2"/>
      <c r="AH160" s="2"/>
      <c r="AI160" s="10"/>
      <c r="AJ160" s="2"/>
    </row>
    <row r="161" spans="1:36">
      <c r="A161" s="2"/>
      <c r="B161" s="3"/>
      <c r="C161" s="4" t="str">
        <f t="shared" si="26"/>
        <v/>
      </c>
      <c r="D161" s="5"/>
      <c r="E161" s="2"/>
      <c r="F161" s="2"/>
      <c r="G161" s="2"/>
      <c r="H161" s="2"/>
      <c r="I161" s="2"/>
      <c r="J161" s="2"/>
      <c r="K161" s="3"/>
      <c r="L161" s="4" t="str">
        <f t="shared" si="27"/>
        <v/>
      </c>
      <c r="M161" s="6"/>
      <c r="N161" s="2"/>
      <c r="O161" s="7"/>
      <c r="P161" s="8"/>
      <c r="Q161" s="8"/>
      <c r="R161" s="8"/>
      <c r="S161" s="9" t="str">
        <f t="shared" si="28"/>
        <v/>
      </c>
      <c r="T161" s="2"/>
      <c r="U161" s="10"/>
      <c r="V161" s="10"/>
      <c r="W161" s="11" t="str">
        <f>IF(A161="","",SUMIFS('Exit Log'!$I$5:$I$304,'Exit Log'!$A$5:$A$304,A161))</f>
        <v/>
      </c>
      <c r="X161" s="11" t="str">
        <f t="shared" si="29"/>
        <v/>
      </c>
      <c r="Y161" s="9" t="e">
        <f>IF(W161=0,"",SUMIFS('Exit Log'!$N$5:$N$304,'Exit Log'!$A$5:$A$304,A161)/(W161*100))</f>
        <v>#VALUE!</v>
      </c>
      <c r="Z161" s="9" t="str">
        <f>IF(A161="","",SUMIFS('Exit Log'!$N$5:$N$304,'Exit Log'!$A$5:$A$304,A161))</f>
        <v/>
      </c>
      <c r="AA161" s="9" t="str">
        <f>IF(A161="","",SUMIFS('Exit Log'!$K$5:$K$304,'Exit Log'!$A$5:$A$304,A161))</f>
        <v/>
      </c>
      <c r="AB161" s="9" t="str">
        <f>IF(A161="","",SUMIFS('Exit Log'!$P$5:$P$304,'Exit Log'!$A$5:$A$304,A161))</f>
        <v/>
      </c>
      <c r="AC161" s="12" t="e">
        <f t="shared" si="30"/>
        <v>#VALUE!</v>
      </c>
      <c r="AD161" s="4" t="str">
        <f t="shared" si="31"/>
        <v/>
      </c>
      <c r="AE161" s="13">
        <f>IF(W161=0,"",LOOKUP(2,1/('Exit Log'!$A$5:$A$304=A161),'Exit Log'!$C$5:$C$304))</f>
        <v>0</v>
      </c>
      <c r="AF161" s="14">
        <f>IF(W161=0,"",LOOKUP(2,1/('Exit Log'!$A$5:$A$304=A161),'Exit Log'!$E$5:$E$304))</f>
        <v>0</v>
      </c>
      <c r="AG161" s="2"/>
      <c r="AH161" s="2"/>
      <c r="AI161" s="10"/>
      <c r="AJ161" s="2"/>
    </row>
    <row r="162" spans="1:36">
      <c r="A162" s="2"/>
      <c r="B162" s="3"/>
      <c r="C162" s="4" t="str">
        <f t="shared" si="26"/>
        <v/>
      </c>
      <c r="D162" s="5"/>
      <c r="E162" s="2"/>
      <c r="F162" s="2"/>
      <c r="G162" s="2"/>
      <c r="H162" s="2"/>
      <c r="I162" s="2"/>
      <c r="J162" s="2"/>
      <c r="K162" s="3"/>
      <c r="L162" s="4" t="str">
        <f t="shared" si="27"/>
        <v/>
      </c>
      <c r="M162" s="6"/>
      <c r="N162" s="2"/>
      <c r="O162" s="7"/>
      <c r="P162" s="8"/>
      <c r="Q162" s="8"/>
      <c r="R162" s="8"/>
      <c r="S162" s="9" t="str">
        <f t="shared" si="28"/>
        <v/>
      </c>
      <c r="T162" s="2"/>
      <c r="U162" s="10"/>
      <c r="V162" s="10"/>
      <c r="W162" s="11" t="str">
        <f>IF(A162="","",SUMIFS('Exit Log'!$I$5:$I$304,'Exit Log'!$A$5:$A$304,A162))</f>
        <v/>
      </c>
      <c r="X162" s="11" t="str">
        <f t="shared" si="29"/>
        <v/>
      </c>
      <c r="Y162" s="9" t="e">
        <f>IF(W162=0,"",SUMIFS('Exit Log'!$N$5:$N$304,'Exit Log'!$A$5:$A$304,A162)/(W162*100))</f>
        <v>#VALUE!</v>
      </c>
      <c r="Z162" s="9" t="str">
        <f>IF(A162="","",SUMIFS('Exit Log'!$N$5:$N$304,'Exit Log'!$A$5:$A$304,A162))</f>
        <v/>
      </c>
      <c r="AA162" s="9" t="str">
        <f>IF(A162="","",SUMIFS('Exit Log'!$K$5:$K$304,'Exit Log'!$A$5:$A$304,A162))</f>
        <v/>
      </c>
      <c r="AB162" s="9" t="str">
        <f>IF(A162="","",SUMIFS('Exit Log'!$P$5:$P$304,'Exit Log'!$A$5:$A$304,A162))</f>
        <v/>
      </c>
      <c r="AC162" s="12" t="e">
        <f t="shared" si="30"/>
        <v>#VALUE!</v>
      </c>
      <c r="AD162" s="4" t="str">
        <f t="shared" si="31"/>
        <v/>
      </c>
      <c r="AE162" s="13">
        <f>IF(W162=0,"",LOOKUP(2,1/('Exit Log'!$A$5:$A$304=A162),'Exit Log'!$C$5:$C$304))</f>
        <v>0</v>
      </c>
      <c r="AF162" s="14">
        <f>IF(W162=0,"",LOOKUP(2,1/('Exit Log'!$A$5:$A$304=A162),'Exit Log'!$E$5:$E$304))</f>
        <v>0</v>
      </c>
      <c r="AG162" s="2"/>
      <c r="AH162" s="2"/>
      <c r="AI162" s="10"/>
      <c r="AJ162" s="2"/>
    </row>
    <row r="163" spans="1:36">
      <c r="A163" s="2"/>
      <c r="B163" s="3"/>
      <c r="C163" s="4" t="str">
        <f t="shared" si="26"/>
        <v/>
      </c>
      <c r="D163" s="5"/>
      <c r="E163" s="2"/>
      <c r="F163" s="2"/>
      <c r="G163" s="2"/>
      <c r="H163" s="2"/>
      <c r="I163" s="2"/>
      <c r="J163" s="2"/>
      <c r="K163" s="3"/>
      <c r="L163" s="4" t="str">
        <f t="shared" si="27"/>
        <v/>
      </c>
      <c r="M163" s="6"/>
      <c r="N163" s="2"/>
      <c r="O163" s="7"/>
      <c r="P163" s="8"/>
      <c r="Q163" s="8"/>
      <c r="R163" s="8"/>
      <c r="S163" s="9" t="str">
        <f t="shared" si="28"/>
        <v/>
      </c>
      <c r="T163" s="2"/>
      <c r="U163" s="10"/>
      <c r="V163" s="10"/>
      <c r="W163" s="11" t="str">
        <f>IF(A163="","",SUMIFS('Exit Log'!$I$5:$I$304,'Exit Log'!$A$5:$A$304,A163))</f>
        <v/>
      </c>
      <c r="X163" s="11" t="str">
        <f t="shared" si="29"/>
        <v/>
      </c>
      <c r="Y163" s="9" t="e">
        <f>IF(W163=0,"",SUMIFS('Exit Log'!$N$5:$N$304,'Exit Log'!$A$5:$A$304,A163)/(W163*100))</f>
        <v>#VALUE!</v>
      </c>
      <c r="Z163" s="9" t="str">
        <f>IF(A163="","",SUMIFS('Exit Log'!$N$5:$N$304,'Exit Log'!$A$5:$A$304,A163))</f>
        <v/>
      </c>
      <c r="AA163" s="9" t="str">
        <f>IF(A163="","",SUMIFS('Exit Log'!$K$5:$K$304,'Exit Log'!$A$5:$A$304,A163))</f>
        <v/>
      </c>
      <c r="AB163" s="9" t="str">
        <f>IF(A163="","",SUMIFS('Exit Log'!$P$5:$P$304,'Exit Log'!$A$5:$A$304,A163))</f>
        <v/>
      </c>
      <c r="AC163" s="12" t="e">
        <f t="shared" si="30"/>
        <v>#VALUE!</v>
      </c>
      <c r="AD163" s="4" t="str">
        <f t="shared" si="31"/>
        <v/>
      </c>
      <c r="AE163" s="13">
        <f>IF(W163=0,"",LOOKUP(2,1/('Exit Log'!$A$5:$A$304=A163),'Exit Log'!$C$5:$C$304))</f>
        <v>0</v>
      </c>
      <c r="AF163" s="14">
        <f>IF(W163=0,"",LOOKUP(2,1/('Exit Log'!$A$5:$A$304=A163),'Exit Log'!$E$5:$E$304))</f>
        <v>0</v>
      </c>
      <c r="AG163" s="2"/>
      <c r="AH163" s="2"/>
      <c r="AI163" s="10"/>
      <c r="AJ163" s="2"/>
    </row>
    <row r="164" spans="1:36">
      <c r="A164" s="2"/>
      <c r="B164" s="3"/>
      <c r="C164" s="4" t="str">
        <f t="shared" si="26"/>
        <v/>
      </c>
      <c r="D164" s="5"/>
      <c r="E164" s="2"/>
      <c r="F164" s="2"/>
      <c r="G164" s="2"/>
      <c r="H164" s="2"/>
      <c r="I164" s="2"/>
      <c r="J164" s="2"/>
      <c r="K164" s="3"/>
      <c r="L164" s="4" t="str">
        <f t="shared" si="27"/>
        <v/>
      </c>
      <c r="M164" s="6"/>
      <c r="N164" s="2"/>
      <c r="O164" s="7"/>
      <c r="P164" s="8"/>
      <c r="Q164" s="8"/>
      <c r="R164" s="8"/>
      <c r="S164" s="9" t="str">
        <f t="shared" si="28"/>
        <v/>
      </c>
      <c r="T164" s="2"/>
      <c r="U164" s="10"/>
      <c r="V164" s="10"/>
      <c r="W164" s="11" t="str">
        <f>IF(A164="","",SUMIFS('Exit Log'!$I$5:$I$304,'Exit Log'!$A$5:$A$304,A164))</f>
        <v/>
      </c>
      <c r="X164" s="11" t="str">
        <f t="shared" si="29"/>
        <v/>
      </c>
      <c r="Y164" s="9" t="e">
        <f>IF(W164=0,"",SUMIFS('Exit Log'!$N$5:$N$304,'Exit Log'!$A$5:$A$304,A164)/(W164*100))</f>
        <v>#VALUE!</v>
      </c>
      <c r="Z164" s="9" t="str">
        <f>IF(A164="","",SUMIFS('Exit Log'!$N$5:$N$304,'Exit Log'!$A$5:$A$304,A164))</f>
        <v/>
      </c>
      <c r="AA164" s="9" t="str">
        <f>IF(A164="","",SUMIFS('Exit Log'!$K$5:$K$304,'Exit Log'!$A$5:$A$304,A164))</f>
        <v/>
      </c>
      <c r="AB164" s="9" t="str">
        <f>IF(A164="","",SUMIFS('Exit Log'!$P$5:$P$304,'Exit Log'!$A$5:$A$304,A164))</f>
        <v/>
      </c>
      <c r="AC164" s="12" t="e">
        <f t="shared" si="30"/>
        <v>#VALUE!</v>
      </c>
      <c r="AD164" s="4" t="str">
        <f t="shared" si="31"/>
        <v/>
      </c>
      <c r="AE164" s="13">
        <f>IF(W164=0,"",LOOKUP(2,1/('Exit Log'!$A$5:$A$304=A164),'Exit Log'!$C$5:$C$304))</f>
        <v>0</v>
      </c>
      <c r="AF164" s="14">
        <f>IF(W164=0,"",LOOKUP(2,1/('Exit Log'!$A$5:$A$304=A164),'Exit Log'!$E$5:$E$304))</f>
        <v>0</v>
      </c>
      <c r="AG164" s="2"/>
      <c r="AH164" s="2"/>
      <c r="AI164" s="10"/>
      <c r="AJ164" s="2"/>
    </row>
    <row r="165" spans="1:36">
      <c r="A165" s="2"/>
      <c r="B165" s="3"/>
      <c r="C165" s="4" t="str">
        <f t="shared" ref="C165:C196" si="32">IF(B165="","",TEXT(B165,"dddd"))</f>
        <v/>
      </c>
      <c r="D165" s="5"/>
      <c r="E165" s="2"/>
      <c r="F165" s="2"/>
      <c r="G165" s="2"/>
      <c r="H165" s="2"/>
      <c r="I165" s="2"/>
      <c r="J165" s="2"/>
      <c r="K165" s="3"/>
      <c r="L165" s="4" t="str">
        <f t="shared" ref="L165:L196" si="33">IF(OR(B165="",K165=""),"",K165-B165)</f>
        <v/>
      </c>
      <c r="M165" s="6"/>
      <c r="N165" s="2"/>
      <c r="O165" s="7"/>
      <c r="P165" s="8"/>
      <c r="Q165" s="8"/>
      <c r="R165" s="8"/>
      <c r="S165" s="9" t="str">
        <f t="shared" ref="S165:S196" si="34">IF(OR(O165="",P165=""),"",O165*P165*100+IF(Q165="",0,Q165))</f>
        <v/>
      </c>
      <c r="T165" s="2"/>
      <c r="U165" s="10"/>
      <c r="V165" s="10"/>
      <c r="W165" s="11" t="str">
        <f>IF(A165="","",SUMIFS('Exit Log'!$I$5:$I$304,'Exit Log'!$A$5:$A$304,A165))</f>
        <v/>
      </c>
      <c r="X165" s="11" t="str">
        <f t="shared" ref="X165:X196" si="35">IF(A165="","",O165-W165)</f>
        <v/>
      </c>
      <c r="Y165" s="9" t="e">
        <f>IF(W165=0,"",SUMIFS('Exit Log'!$N$5:$N$304,'Exit Log'!$A$5:$A$304,A165)/(W165*100))</f>
        <v>#VALUE!</v>
      </c>
      <c r="Z165" s="9" t="str">
        <f>IF(A165="","",SUMIFS('Exit Log'!$N$5:$N$304,'Exit Log'!$A$5:$A$304,A165))</f>
        <v/>
      </c>
      <c r="AA165" s="9" t="str">
        <f>IF(A165="","",SUMIFS('Exit Log'!$K$5:$K$304,'Exit Log'!$A$5:$A$304,A165))</f>
        <v/>
      </c>
      <c r="AB165" s="9" t="str">
        <f>IF(A165="","",SUMIFS('Exit Log'!$P$5:$P$304,'Exit Log'!$A$5:$A$304,A165))</f>
        <v/>
      </c>
      <c r="AC165" s="12" t="e">
        <f t="shared" ref="AC165:AC196" si="36">IF(W165=0,"",AB165/(W165*P165*100+IFERROR(Q165*W165/O165,0)))</f>
        <v>#VALUE!</v>
      </c>
      <c r="AD165" s="4" t="str">
        <f t="shared" ref="AD165:AD196" si="37">IF(A165="","",IF(W165=0,"Open",IF(X165=0,"Closed","Partially Trimmed")))</f>
        <v/>
      </c>
      <c r="AE165" s="13">
        <f>IF(W165=0,"",LOOKUP(2,1/('Exit Log'!$A$5:$A$304=A165),'Exit Log'!$C$5:$C$304))</f>
        <v>0</v>
      </c>
      <c r="AF165" s="14">
        <f>IF(W165=0,"",LOOKUP(2,1/('Exit Log'!$A$5:$A$304=A165),'Exit Log'!$E$5:$E$304))</f>
        <v>0</v>
      </c>
      <c r="AG165" s="2"/>
      <c r="AH165" s="2"/>
      <c r="AI165" s="10"/>
      <c r="AJ165" s="2"/>
    </row>
    <row r="166" spans="1:36">
      <c r="A166" s="2"/>
      <c r="B166" s="3"/>
      <c r="C166" s="4" t="str">
        <f t="shared" si="32"/>
        <v/>
      </c>
      <c r="D166" s="5"/>
      <c r="E166" s="2"/>
      <c r="F166" s="2"/>
      <c r="G166" s="2"/>
      <c r="H166" s="2"/>
      <c r="I166" s="2"/>
      <c r="J166" s="2"/>
      <c r="K166" s="3"/>
      <c r="L166" s="4" t="str">
        <f t="shared" si="33"/>
        <v/>
      </c>
      <c r="M166" s="6"/>
      <c r="N166" s="2"/>
      <c r="O166" s="7"/>
      <c r="P166" s="8"/>
      <c r="Q166" s="8"/>
      <c r="R166" s="8"/>
      <c r="S166" s="9" t="str">
        <f t="shared" si="34"/>
        <v/>
      </c>
      <c r="T166" s="2"/>
      <c r="U166" s="10"/>
      <c r="V166" s="10"/>
      <c r="W166" s="11" t="str">
        <f>IF(A166="","",SUMIFS('Exit Log'!$I$5:$I$304,'Exit Log'!$A$5:$A$304,A166))</f>
        <v/>
      </c>
      <c r="X166" s="11" t="str">
        <f t="shared" si="35"/>
        <v/>
      </c>
      <c r="Y166" s="9" t="e">
        <f>IF(W166=0,"",SUMIFS('Exit Log'!$N$5:$N$304,'Exit Log'!$A$5:$A$304,A166)/(W166*100))</f>
        <v>#VALUE!</v>
      </c>
      <c r="Z166" s="9" t="str">
        <f>IF(A166="","",SUMIFS('Exit Log'!$N$5:$N$304,'Exit Log'!$A$5:$A$304,A166))</f>
        <v/>
      </c>
      <c r="AA166" s="9" t="str">
        <f>IF(A166="","",SUMIFS('Exit Log'!$K$5:$K$304,'Exit Log'!$A$5:$A$304,A166))</f>
        <v/>
      </c>
      <c r="AB166" s="9" t="str">
        <f>IF(A166="","",SUMIFS('Exit Log'!$P$5:$P$304,'Exit Log'!$A$5:$A$304,A166))</f>
        <v/>
      </c>
      <c r="AC166" s="12" t="e">
        <f t="shared" si="36"/>
        <v>#VALUE!</v>
      </c>
      <c r="AD166" s="4" t="str">
        <f t="shared" si="37"/>
        <v/>
      </c>
      <c r="AE166" s="13">
        <f>IF(W166=0,"",LOOKUP(2,1/('Exit Log'!$A$5:$A$304=A166),'Exit Log'!$C$5:$C$304))</f>
        <v>0</v>
      </c>
      <c r="AF166" s="14">
        <f>IF(W166=0,"",LOOKUP(2,1/('Exit Log'!$A$5:$A$304=A166),'Exit Log'!$E$5:$E$304))</f>
        <v>0</v>
      </c>
      <c r="AG166" s="2"/>
      <c r="AH166" s="2"/>
      <c r="AI166" s="10"/>
      <c r="AJ166" s="2"/>
    </row>
    <row r="167" spans="1:36">
      <c r="A167" s="2"/>
      <c r="B167" s="3"/>
      <c r="C167" s="4" t="str">
        <f t="shared" si="32"/>
        <v/>
      </c>
      <c r="D167" s="5"/>
      <c r="E167" s="2"/>
      <c r="F167" s="2"/>
      <c r="G167" s="2"/>
      <c r="H167" s="2"/>
      <c r="I167" s="2"/>
      <c r="J167" s="2"/>
      <c r="K167" s="3"/>
      <c r="L167" s="4" t="str">
        <f t="shared" si="33"/>
        <v/>
      </c>
      <c r="M167" s="6"/>
      <c r="N167" s="2"/>
      <c r="O167" s="7"/>
      <c r="P167" s="8"/>
      <c r="Q167" s="8"/>
      <c r="R167" s="8"/>
      <c r="S167" s="9" t="str">
        <f t="shared" si="34"/>
        <v/>
      </c>
      <c r="T167" s="2"/>
      <c r="U167" s="10"/>
      <c r="V167" s="10"/>
      <c r="W167" s="11" t="str">
        <f>IF(A167="","",SUMIFS('Exit Log'!$I$5:$I$304,'Exit Log'!$A$5:$A$304,A167))</f>
        <v/>
      </c>
      <c r="X167" s="11" t="str">
        <f t="shared" si="35"/>
        <v/>
      </c>
      <c r="Y167" s="9" t="e">
        <f>IF(W167=0,"",SUMIFS('Exit Log'!$N$5:$N$304,'Exit Log'!$A$5:$A$304,A167)/(W167*100))</f>
        <v>#VALUE!</v>
      </c>
      <c r="Z167" s="9" t="str">
        <f>IF(A167="","",SUMIFS('Exit Log'!$N$5:$N$304,'Exit Log'!$A$5:$A$304,A167))</f>
        <v/>
      </c>
      <c r="AA167" s="9" t="str">
        <f>IF(A167="","",SUMIFS('Exit Log'!$K$5:$K$304,'Exit Log'!$A$5:$A$304,A167))</f>
        <v/>
      </c>
      <c r="AB167" s="9" t="str">
        <f>IF(A167="","",SUMIFS('Exit Log'!$P$5:$P$304,'Exit Log'!$A$5:$A$304,A167))</f>
        <v/>
      </c>
      <c r="AC167" s="12" t="e">
        <f t="shared" si="36"/>
        <v>#VALUE!</v>
      </c>
      <c r="AD167" s="4" t="str">
        <f t="shared" si="37"/>
        <v/>
      </c>
      <c r="AE167" s="13">
        <f>IF(W167=0,"",LOOKUP(2,1/('Exit Log'!$A$5:$A$304=A167),'Exit Log'!$C$5:$C$304))</f>
        <v>0</v>
      </c>
      <c r="AF167" s="14">
        <f>IF(W167=0,"",LOOKUP(2,1/('Exit Log'!$A$5:$A$304=A167),'Exit Log'!$E$5:$E$304))</f>
        <v>0</v>
      </c>
      <c r="AG167" s="2"/>
      <c r="AH167" s="2"/>
      <c r="AI167" s="10"/>
      <c r="AJ167" s="2"/>
    </row>
    <row r="168" spans="1:36">
      <c r="A168" s="2"/>
      <c r="B168" s="3"/>
      <c r="C168" s="4" t="str">
        <f t="shared" si="32"/>
        <v/>
      </c>
      <c r="D168" s="5"/>
      <c r="E168" s="2"/>
      <c r="F168" s="2"/>
      <c r="G168" s="2"/>
      <c r="H168" s="2"/>
      <c r="I168" s="2"/>
      <c r="J168" s="2"/>
      <c r="K168" s="3"/>
      <c r="L168" s="4" t="str">
        <f t="shared" si="33"/>
        <v/>
      </c>
      <c r="M168" s="6"/>
      <c r="N168" s="2"/>
      <c r="O168" s="7"/>
      <c r="P168" s="8"/>
      <c r="Q168" s="8"/>
      <c r="R168" s="8"/>
      <c r="S168" s="9" t="str">
        <f t="shared" si="34"/>
        <v/>
      </c>
      <c r="T168" s="2"/>
      <c r="U168" s="10"/>
      <c r="V168" s="10"/>
      <c r="W168" s="11" t="str">
        <f>IF(A168="","",SUMIFS('Exit Log'!$I$5:$I$304,'Exit Log'!$A$5:$A$304,A168))</f>
        <v/>
      </c>
      <c r="X168" s="11" t="str">
        <f t="shared" si="35"/>
        <v/>
      </c>
      <c r="Y168" s="9" t="e">
        <f>IF(W168=0,"",SUMIFS('Exit Log'!$N$5:$N$304,'Exit Log'!$A$5:$A$304,A168)/(W168*100))</f>
        <v>#VALUE!</v>
      </c>
      <c r="Z168" s="9" t="str">
        <f>IF(A168="","",SUMIFS('Exit Log'!$N$5:$N$304,'Exit Log'!$A$5:$A$304,A168))</f>
        <v/>
      </c>
      <c r="AA168" s="9" t="str">
        <f>IF(A168="","",SUMIFS('Exit Log'!$K$5:$K$304,'Exit Log'!$A$5:$A$304,A168))</f>
        <v/>
      </c>
      <c r="AB168" s="9" t="str">
        <f>IF(A168="","",SUMIFS('Exit Log'!$P$5:$P$304,'Exit Log'!$A$5:$A$304,A168))</f>
        <v/>
      </c>
      <c r="AC168" s="12" t="e">
        <f t="shared" si="36"/>
        <v>#VALUE!</v>
      </c>
      <c r="AD168" s="4" t="str">
        <f t="shared" si="37"/>
        <v/>
      </c>
      <c r="AE168" s="13">
        <f>IF(W168=0,"",LOOKUP(2,1/('Exit Log'!$A$5:$A$304=A168),'Exit Log'!$C$5:$C$304))</f>
        <v>0</v>
      </c>
      <c r="AF168" s="14">
        <f>IF(W168=0,"",LOOKUP(2,1/('Exit Log'!$A$5:$A$304=A168),'Exit Log'!$E$5:$E$304))</f>
        <v>0</v>
      </c>
      <c r="AG168" s="2"/>
      <c r="AH168" s="2"/>
      <c r="AI168" s="10"/>
      <c r="AJ168" s="2"/>
    </row>
    <row r="169" spans="1:36">
      <c r="A169" s="2"/>
      <c r="B169" s="3"/>
      <c r="C169" s="4" t="str">
        <f t="shared" si="32"/>
        <v/>
      </c>
      <c r="D169" s="5"/>
      <c r="E169" s="2"/>
      <c r="F169" s="2"/>
      <c r="G169" s="2"/>
      <c r="H169" s="2"/>
      <c r="I169" s="2"/>
      <c r="J169" s="2"/>
      <c r="K169" s="3"/>
      <c r="L169" s="4" t="str">
        <f t="shared" si="33"/>
        <v/>
      </c>
      <c r="M169" s="6"/>
      <c r="N169" s="2"/>
      <c r="O169" s="7"/>
      <c r="P169" s="8"/>
      <c r="Q169" s="8"/>
      <c r="R169" s="8"/>
      <c r="S169" s="9" t="str">
        <f t="shared" si="34"/>
        <v/>
      </c>
      <c r="T169" s="2"/>
      <c r="U169" s="10"/>
      <c r="V169" s="10"/>
      <c r="W169" s="11" t="str">
        <f>IF(A169="","",SUMIFS('Exit Log'!$I$5:$I$304,'Exit Log'!$A$5:$A$304,A169))</f>
        <v/>
      </c>
      <c r="X169" s="11" t="str">
        <f t="shared" si="35"/>
        <v/>
      </c>
      <c r="Y169" s="9" t="e">
        <f>IF(W169=0,"",SUMIFS('Exit Log'!$N$5:$N$304,'Exit Log'!$A$5:$A$304,A169)/(W169*100))</f>
        <v>#VALUE!</v>
      </c>
      <c r="Z169" s="9" t="str">
        <f>IF(A169="","",SUMIFS('Exit Log'!$N$5:$N$304,'Exit Log'!$A$5:$A$304,A169))</f>
        <v/>
      </c>
      <c r="AA169" s="9" t="str">
        <f>IF(A169="","",SUMIFS('Exit Log'!$K$5:$K$304,'Exit Log'!$A$5:$A$304,A169))</f>
        <v/>
      </c>
      <c r="AB169" s="9" t="str">
        <f>IF(A169="","",SUMIFS('Exit Log'!$P$5:$P$304,'Exit Log'!$A$5:$A$304,A169))</f>
        <v/>
      </c>
      <c r="AC169" s="12" t="e">
        <f t="shared" si="36"/>
        <v>#VALUE!</v>
      </c>
      <c r="AD169" s="4" t="str">
        <f t="shared" si="37"/>
        <v/>
      </c>
      <c r="AE169" s="13">
        <f>IF(W169=0,"",LOOKUP(2,1/('Exit Log'!$A$5:$A$304=A169),'Exit Log'!$C$5:$C$304))</f>
        <v>0</v>
      </c>
      <c r="AF169" s="14">
        <f>IF(W169=0,"",LOOKUP(2,1/('Exit Log'!$A$5:$A$304=A169),'Exit Log'!$E$5:$E$304))</f>
        <v>0</v>
      </c>
      <c r="AG169" s="2"/>
      <c r="AH169" s="2"/>
      <c r="AI169" s="10"/>
      <c r="AJ169" s="2"/>
    </row>
    <row r="170" spans="1:36">
      <c r="A170" s="2"/>
      <c r="B170" s="3"/>
      <c r="C170" s="4" t="str">
        <f t="shared" si="32"/>
        <v/>
      </c>
      <c r="D170" s="5"/>
      <c r="E170" s="2"/>
      <c r="F170" s="2"/>
      <c r="G170" s="2"/>
      <c r="H170" s="2"/>
      <c r="I170" s="2"/>
      <c r="J170" s="2"/>
      <c r="K170" s="3"/>
      <c r="L170" s="4" t="str">
        <f t="shared" si="33"/>
        <v/>
      </c>
      <c r="M170" s="6"/>
      <c r="N170" s="2"/>
      <c r="O170" s="7"/>
      <c r="P170" s="8"/>
      <c r="Q170" s="8"/>
      <c r="R170" s="8"/>
      <c r="S170" s="9" t="str">
        <f t="shared" si="34"/>
        <v/>
      </c>
      <c r="T170" s="2"/>
      <c r="U170" s="10"/>
      <c r="V170" s="10"/>
      <c r="W170" s="11" t="str">
        <f>IF(A170="","",SUMIFS('Exit Log'!$I$5:$I$304,'Exit Log'!$A$5:$A$304,A170))</f>
        <v/>
      </c>
      <c r="X170" s="11" t="str">
        <f t="shared" si="35"/>
        <v/>
      </c>
      <c r="Y170" s="9" t="e">
        <f>IF(W170=0,"",SUMIFS('Exit Log'!$N$5:$N$304,'Exit Log'!$A$5:$A$304,A170)/(W170*100))</f>
        <v>#VALUE!</v>
      </c>
      <c r="Z170" s="9" t="str">
        <f>IF(A170="","",SUMIFS('Exit Log'!$N$5:$N$304,'Exit Log'!$A$5:$A$304,A170))</f>
        <v/>
      </c>
      <c r="AA170" s="9" t="str">
        <f>IF(A170="","",SUMIFS('Exit Log'!$K$5:$K$304,'Exit Log'!$A$5:$A$304,A170))</f>
        <v/>
      </c>
      <c r="AB170" s="9" t="str">
        <f>IF(A170="","",SUMIFS('Exit Log'!$P$5:$P$304,'Exit Log'!$A$5:$A$304,A170))</f>
        <v/>
      </c>
      <c r="AC170" s="12" t="e">
        <f t="shared" si="36"/>
        <v>#VALUE!</v>
      </c>
      <c r="AD170" s="4" t="str">
        <f t="shared" si="37"/>
        <v/>
      </c>
      <c r="AE170" s="13">
        <f>IF(W170=0,"",LOOKUP(2,1/('Exit Log'!$A$5:$A$304=A170),'Exit Log'!$C$5:$C$304))</f>
        <v>0</v>
      </c>
      <c r="AF170" s="14">
        <f>IF(W170=0,"",LOOKUP(2,1/('Exit Log'!$A$5:$A$304=A170),'Exit Log'!$E$5:$E$304))</f>
        <v>0</v>
      </c>
      <c r="AG170" s="2"/>
      <c r="AH170" s="2"/>
      <c r="AI170" s="10"/>
      <c r="AJ170" s="2"/>
    </row>
    <row r="171" spans="1:36">
      <c r="A171" s="2"/>
      <c r="B171" s="3"/>
      <c r="C171" s="4" t="str">
        <f t="shared" si="32"/>
        <v/>
      </c>
      <c r="D171" s="5"/>
      <c r="E171" s="2"/>
      <c r="F171" s="2"/>
      <c r="G171" s="2"/>
      <c r="H171" s="2"/>
      <c r="I171" s="2"/>
      <c r="J171" s="2"/>
      <c r="K171" s="3"/>
      <c r="L171" s="4" t="str">
        <f t="shared" si="33"/>
        <v/>
      </c>
      <c r="M171" s="6"/>
      <c r="N171" s="2"/>
      <c r="O171" s="7"/>
      <c r="P171" s="8"/>
      <c r="Q171" s="8"/>
      <c r="R171" s="8"/>
      <c r="S171" s="9" t="str">
        <f t="shared" si="34"/>
        <v/>
      </c>
      <c r="T171" s="2"/>
      <c r="U171" s="10"/>
      <c r="V171" s="10"/>
      <c r="W171" s="11" t="str">
        <f>IF(A171="","",SUMIFS('Exit Log'!$I$5:$I$304,'Exit Log'!$A$5:$A$304,A171))</f>
        <v/>
      </c>
      <c r="X171" s="11" t="str">
        <f t="shared" si="35"/>
        <v/>
      </c>
      <c r="Y171" s="9" t="e">
        <f>IF(W171=0,"",SUMIFS('Exit Log'!$N$5:$N$304,'Exit Log'!$A$5:$A$304,A171)/(W171*100))</f>
        <v>#VALUE!</v>
      </c>
      <c r="Z171" s="9" t="str">
        <f>IF(A171="","",SUMIFS('Exit Log'!$N$5:$N$304,'Exit Log'!$A$5:$A$304,A171))</f>
        <v/>
      </c>
      <c r="AA171" s="9" t="str">
        <f>IF(A171="","",SUMIFS('Exit Log'!$K$5:$K$304,'Exit Log'!$A$5:$A$304,A171))</f>
        <v/>
      </c>
      <c r="AB171" s="9" t="str">
        <f>IF(A171="","",SUMIFS('Exit Log'!$P$5:$P$304,'Exit Log'!$A$5:$A$304,A171))</f>
        <v/>
      </c>
      <c r="AC171" s="12" t="e">
        <f t="shared" si="36"/>
        <v>#VALUE!</v>
      </c>
      <c r="AD171" s="4" t="str">
        <f t="shared" si="37"/>
        <v/>
      </c>
      <c r="AE171" s="13">
        <f>IF(W171=0,"",LOOKUP(2,1/('Exit Log'!$A$5:$A$304=A171),'Exit Log'!$C$5:$C$304))</f>
        <v>0</v>
      </c>
      <c r="AF171" s="14">
        <f>IF(W171=0,"",LOOKUP(2,1/('Exit Log'!$A$5:$A$304=A171),'Exit Log'!$E$5:$E$304))</f>
        <v>0</v>
      </c>
      <c r="AG171" s="2"/>
      <c r="AH171" s="2"/>
      <c r="AI171" s="10"/>
      <c r="AJ171" s="2"/>
    </row>
    <row r="172" spans="1:36">
      <c r="A172" s="2"/>
      <c r="B172" s="3"/>
      <c r="C172" s="4" t="str">
        <f t="shared" si="32"/>
        <v/>
      </c>
      <c r="D172" s="5"/>
      <c r="E172" s="2"/>
      <c r="F172" s="2"/>
      <c r="G172" s="2"/>
      <c r="H172" s="2"/>
      <c r="I172" s="2"/>
      <c r="J172" s="2"/>
      <c r="K172" s="3"/>
      <c r="L172" s="4" t="str">
        <f t="shared" si="33"/>
        <v/>
      </c>
      <c r="M172" s="6"/>
      <c r="N172" s="2"/>
      <c r="O172" s="7"/>
      <c r="P172" s="8"/>
      <c r="Q172" s="8"/>
      <c r="R172" s="8"/>
      <c r="S172" s="9" t="str">
        <f t="shared" si="34"/>
        <v/>
      </c>
      <c r="T172" s="2"/>
      <c r="U172" s="10"/>
      <c r="V172" s="10"/>
      <c r="W172" s="11" t="str">
        <f>IF(A172="","",SUMIFS('Exit Log'!$I$5:$I$304,'Exit Log'!$A$5:$A$304,A172))</f>
        <v/>
      </c>
      <c r="X172" s="11" t="str">
        <f t="shared" si="35"/>
        <v/>
      </c>
      <c r="Y172" s="9" t="e">
        <f>IF(W172=0,"",SUMIFS('Exit Log'!$N$5:$N$304,'Exit Log'!$A$5:$A$304,A172)/(W172*100))</f>
        <v>#VALUE!</v>
      </c>
      <c r="Z172" s="9" t="str">
        <f>IF(A172="","",SUMIFS('Exit Log'!$N$5:$N$304,'Exit Log'!$A$5:$A$304,A172))</f>
        <v/>
      </c>
      <c r="AA172" s="9" t="str">
        <f>IF(A172="","",SUMIFS('Exit Log'!$K$5:$K$304,'Exit Log'!$A$5:$A$304,A172))</f>
        <v/>
      </c>
      <c r="AB172" s="9" t="str">
        <f>IF(A172="","",SUMIFS('Exit Log'!$P$5:$P$304,'Exit Log'!$A$5:$A$304,A172))</f>
        <v/>
      </c>
      <c r="AC172" s="12" t="e">
        <f t="shared" si="36"/>
        <v>#VALUE!</v>
      </c>
      <c r="AD172" s="4" t="str">
        <f t="shared" si="37"/>
        <v/>
      </c>
      <c r="AE172" s="13">
        <f>IF(W172=0,"",LOOKUP(2,1/('Exit Log'!$A$5:$A$304=A172),'Exit Log'!$C$5:$C$304))</f>
        <v>0</v>
      </c>
      <c r="AF172" s="14">
        <f>IF(W172=0,"",LOOKUP(2,1/('Exit Log'!$A$5:$A$304=A172),'Exit Log'!$E$5:$E$304))</f>
        <v>0</v>
      </c>
      <c r="AG172" s="2"/>
      <c r="AH172" s="2"/>
      <c r="AI172" s="10"/>
      <c r="AJ172" s="2"/>
    </row>
    <row r="173" spans="1:36">
      <c r="A173" s="2"/>
      <c r="B173" s="3"/>
      <c r="C173" s="4" t="str">
        <f t="shared" si="32"/>
        <v/>
      </c>
      <c r="D173" s="5"/>
      <c r="E173" s="2"/>
      <c r="F173" s="2"/>
      <c r="G173" s="2"/>
      <c r="H173" s="2"/>
      <c r="I173" s="2"/>
      <c r="J173" s="2"/>
      <c r="K173" s="3"/>
      <c r="L173" s="4" t="str">
        <f t="shared" si="33"/>
        <v/>
      </c>
      <c r="M173" s="6"/>
      <c r="N173" s="2"/>
      <c r="O173" s="7"/>
      <c r="P173" s="8"/>
      <c r="Q173" s="8"/>
      <c r="R173" s="8"/>
      <c r="S173" s="9" t="str">
        <f t="shared" si="34"/>
        <v/>
      </c>
      <c r="T173" s="2"/>
      <c r="U173" s="10"/>
      <c r="V173" s="10"/>
      <c r="W173" s="11" t="str">
        <f>IF(A173="","",SUMIFS('Exit Log'!$I$5:$I$304,'Exit Log'!$A$5:$A$304,A173))</f>
        <v/>
      </c>
      <c r="X173" s="11" t="str">
        <f t="shared" si="35"/>
        <v/>
      </c>
      <c r="Y173" s="9" t="e">
        <f>IF(W173=0,"",SUMIFS('Exit Log'!$N$5:$N$304,'Exit Log'!$A$5:$A$304,A173)/(W173*100))</f>
        <v>#VALUE!</v>
      </c>
      <c r="Z173" s="9" t="str">
        <f>IF(A173="","",SUMIFS('Exit Log'!$N$5:$N$304,'Exit Log'!$A$5:$A$304,A173))</f>
        <v/>
      </c>
      <c r="AA173" s="9" t="str">
        <f>IF(A173="","",SUMIFS('Exit Log'!$K$5:$K$304,'Exit Log'!$A$5:$A$304,A173))</f>
        <v/>
      </c>
      <c r="AB173" s="9" t="str">
        <f>IF(A173="","",SUMIFS('Exit Log'!$P$5:$P$304,'Exit Log'!$A$5:$A$304,A173))</f>
        <v/>
      </c>
      <c r="AC173" s="12" t="e">
        <f t="shared" si="36"/>
        <v>#VALUE!</v>
      </c>
      <c r="AD173" s="4" t="str">
        <f t="shared" si="37"/>
        <v/>
      </c>
      <c r="AE173" s="13">
        <f>IF(W173=0,"",LOOKUP(2,1/('Exit Log'!$A$5:$A$304=A173),'Exit Log'!$C$5:$C$304))</f>
        <v>0</v>
      </c>
      <c r="AF173" s="14">
        <f>IF(W173=0,"",LOOKUP(2,1/('Exit Log'!$A$5:$A$304=A173),'Exit Log'!$E$5:$E$304))</f>
        <v>0</v>
      </c>
      <c r="AG173" s="2"/>
      <c r="AH173" s="2"/>
      <c r="AI173" s="10"/>
      <c r="AJ173" s="2"/>
    </row>
    <row r="174" spans="1:36">
      <c r="A174" s="2"/>
      <c r="B174" s="3"/>
      <c r="C174" s="4" t="str">
        <f t="shared" si="32"/>
        <v/>
      </c>
      <c r="D174" s="5"/>
      <c r="E174" s="2"/>
      <c r="F174" s="2"/>
      <c r="G174" s="2"/>
      <c r="H174" s="2"/>
      <c r="I174" s="2"/>
      <c r="J174" s="2"/>
      <c r="K174" s="3"/>
      <c r="L174" s="4" t="str">
        <f t="shared" si="33"/>
        <v/>
      </c>
      <c r="M174" s="6"/>
      <c r="N174" s="2"/>
      <c r="O174" s="7"/>
      <c r="P174" s="8"/>
      <c r="Q174" s="8"/>
      <c r="R174" s="8"/>
      <c r="S174" s="9" t="str">
        <f t="shared" si="34"/>
        <v/>
      </c>
      <c r="T174" s="2"/>
      <c r="U174" s="10"/>
      <c r="V174" s="10"/>
      <c r="W174" s="11" t="str">
        <f>IF(A174="","",SUMIFS('Exit Log'!$I$5:$I$304,'Exit Log'!$A$5:$A$304,A174))</f>
        <v/>
      </c>
      <c r="X174" s="11" t="str">
        <f t="shared" si="35"/>
        <v/>
      </c>
      <c r="Y174" s="9" t="e">
        <f>IF(W174=0,"",SUMIFS('Exit Log'!$N$5:$N$304,'Exit Log'!$A$5:$A$304,A174)/(W174*100))</f>
        <v>#VALUE!</v>
      </c>
      <c r="Z174" s="9" t="str">
        <f>IF(A174="","",SUMIFS('Exit Log'!$N$5:$N$304,'Exit Log'!$A$5:$A$304,A174))</f>
        <v/>
      </c>
      <c r="AA174" s="9" t="str">
        <f>IF(A174="","",SUMIFS('Exit Log'!$K$5:$K$304,'Exit Log'!$A$5:$A$304,A174))</f>
        <v/>
      </c>
      <c r="AB174" s="9" t="str">
        <f>IF(A174="","",SUMIFS('Exit Log'!$P$5:$P$304,'Exit Log'!$A$5:$A$304,A174))</f>
        <v/>
      </c>
      <c r="AC174" s="12" t="e">
        <f t="shared" si="36"/>
        <v>#VALUE!</v>
      </c>
      <c r="AD174" s="4" t="str">
        <f t="shared" si="37"/>
        <v/>
      </c>
      <c r="AE174" s="13">
        <f>IF(W174=0,"",LOOKUP(2,1/('Exit Log'!$A$5:$A$304=A174),'Exit Log'!$C$5:$C$304))</f>
        <v>0</v>
      </c>
      <c r="AF174" s="14">
        <f>IF(W174=0,"",LOOKUP(2,1/('Exit Log'!$A$5:$A$304=A174),'Exit Log'!$E$5:$E$304))</f>
        <v>0</v>
      </c>
      <c r="AG174" s="2"/>
      <c r="AH174" s="2"/>
      <c r="AI174" s="10"/>
      <c r="AJ174" s="2"/>
    </row>
    <row r="175" spans="1:36">
      <c r="A175" s="2"/>
      <c r="B175" s="3"/>
      <c r="C175" s="4" t="str">
        <f t="shared" si="32"/>
        <v/>
      </c>
      <c r="D175" s="5"/>
      <c r="E175" s="2"/>
      <c r="F175" s="2"/>
      <c r="G175" s="2"/>
      <c r="H175" s="2"/>
      <c r="I175" s="2"/>
      <c r="J175" s="2"/>
      <c r="K175" s="3"/>
      <c r="L175" s="4" t="str">
        <f t="shared" si="33"/>
        <v/>
      </c>
      <c r="M175" s="6"/>
      <c r="N175" s="2"/>
      <c r="O175" s="7"/>
      <c r="P175" s="8"/>
      <c r="Q175" s="8"/>
      <c r="R175" s="8"/>
      <c r="S175" s="9" t="str">
        <f t="shared" si="34"/>
        <v/>
      </c>
      <c r="T175" s="2"/>
      <c r="U175" s="10"/>
      <c r="V175" s="10"/>
      <c r="W175" s="11" t="str">
        <f>IF(A175="","",SUMIFS('Exit Log'!$I$5:$I$304,'Exit Log'!$A$5:$A$304,A175))</f>
        <v/>
      </c>
      <c r="X175" s="11" t="str">
        <f t="shared" si="35"/>
        <v/>
      </c>
      <c r="Y175" s="9" t="e">
        <f>IF(W175=0,"",SUMIFS('Exit Log'!$N$5:$N$304,'Exit Log'!$A$5:$A$304,A175)/(W175*100))</f>
        <v>#VALUE!</v>
      </c>
      <c r="Z175" s="9" t="str">
        <f>IF(A175="","",SUMIFS('Exit Log'!$N$5:$N$304,'Exit Log'!$A$5:$A$304,A175))</f>
        <v/>
      </c>
      <c r="AA175" s="9" t="str">
        <f>IF(A175="","",SUMIFS('Exit Log'!$K$5:$K$304,'Exit Log'!$A$5:$A$304,A175))</f>
        <v/>
      </c>
      <c r="AB175" s="9" t="str">
        <f>IF(A175="","",SUMIFS('Exit Log'!$P$5:$P$304,'Exit Log'!$A$5:$A$304,A175))</f>
        <v/>
      </c>
      <c r="AC175" s="12" t="e">
        <f t="shared" si="36"/>
        <v>#VALUE!</v>
      </c>
      <c r="AD175" s="4" t="str">
        <f t="shared" si="37"/>
        <v/>
      </c>
      <c r="AE175" s="13">
        <f>IF(W175=0,"",LOOKUP(2,1/('Exit Log'!$A$5:$A$304=A175),'Exit Log'!$C$5:$C$304))</f>
        <v>0</v>
      </c>
      <c r="AF175" s="14">
        <f>IF(W175=0,"",LOOKUP(2,1/('Exit Log'!$A$5:$A$304=A175),'Exit Log'!$E$5:$E$304))</f>
        <v>0</v>
      </c>
      <c r="AG175" s="2"/>
      <c r="AH175" s="2"/>
      <c r="AI175" s="10"/>
      <c r="AJ175" s="2"/>
    </row>
    <row r="176" spans="1:36">
      <c r="A176" s="2"/>
      <c r="B176" s="3"/>
      <c r="C176" s="4" t="str">
        <f t="shared" si="32"/>
        <v/>
      </c>
      <c r="D176" s="5"/>
      <c r="E176" s="2"/>
      <c r="F176" s="2"/>
      <c r="G176" s="2"/>
      <c r="H176" s="2"/>
      <c r="I176" s="2"/>
      <c r="J176" s="2"/>
      <c r="K176" s="3"/>
      <c r="L176" s="4" t="str">
        <f t="shared" si="33"/>
        <v/>
      </c>
      <c r="M176" s="6"/>
      <c r="N176" s="2"/>
      <c r="O176" s="7"/>
      <c r="P176" s="8"/>
      <c r="Q176" s="8"/>
      <c r="R176" s="8"/>
      <c r="S176" s="9" t="str">
        <f t="shared" si="34"/>
        <v/>
      </c>
      <c r="T176" s="2"/>
      <c r="U176" s="10"/>
      <c r="V176" s="10"/>
      <c r="W176" s="11" t="str">
        <f>IF(A176="","",SUMIFS('Exit Log'!$I$5:$I$304,'Exit Log'!$A$5:$A$304,A176))</f>
        <v/>
      </c>
      <c r="X176" s="11" t="str">
        <f t="shared" si="35"/>
        <v/>
      </c>
      <c r="Y176" s="9" t="e">
        <f>IF(W176=0,"",SUMIFS('Exit Log'!$N$5:$N$304,'Exit Log'!$A$5:$A$304,A176)/(W176*100))</f>
        <v>#VALUE!</v>
      </c>
      <c r="Z176" s="9" t="str">
        <f>IF(A176="","",SUMIFS('Exit Log'!$N$5:$N$304,'Exit Log'!$A$5:$A$304,A176))</f>
        <v/>
      </c>
      <c r="AA176" s="9" t="str">
        <f>IF(A176="","",SUMIFS('Exit Log'!$K$5:$K$304,'Exit Log'!$A$5:$A$304,A176))</f>
        <v/>
      </c>
      <c r="AB176" s="9" t="str">
        <f>IF(A176="","",SUMIFS('Exit Log'!$P$5:$P$304,'Exit Log'!$A$5:$A$304,A176))</f>
        <v/>
      </c>
      <c r="AC176" s="12" t="e">
        <f t="shared" si="36"/>
        <v>#VALUE!</v>
      </c>
      <c r="AD176" s="4" t="str">
        <f t="shared" si="37"/>
        <v/>
      </c>
      <c r="AE176" s="13">
        <f>IF(W176=0,"",LOOKUP(2,1/('Exit Log'!$A$5:$A$304=A176),'Exit Log'!$C$5:$C$304))</f>
        <v>0</v>
      </c>
      <c r="AF176" s="14">
        <f>IF(W176=0,"",LOOKUP(2,1/('Exit Log'!$A$5:$A$304=A176),'Exit Log'!$E$5:$E$304))</f>
        <v>0</v>
      </c>
      <c r="AG176" s="2"/>
      <c r="AH176" s="2"/>
      <c r="AI176" s="10"/>
      <c r="AJ176" s="2"/>
    </row>
    <row r="177" spans="1:36">
      <c r="A177" s="2"/>
      <c r="B177" s="3"/>
      <c r="C177" s="4" t="str">
        <f t="shared" si="32"/>
        <v/>
      </c>
      <c r="D177" s="5"/>
      <c r="E177" s="2"/>
      <c r="F177" s="2"/>
      <c r="G177" s="2"/>
      <c r="H177" s="2"/>
      <c r="I177" s="2"/>
      <c r="J177" s="2"/>
      <c r="K177" s="3"/>
      <c r="L177" s="4" t="str">
        <f t="shared" si="33"/>
        <v/>
      </c>
      <c r="M177" s="6"/>
      <c r="N177" s="2"/>
      <c r="O177" s="7"/>
      <c r="P177" s="8"/>
      <c r="Q177" s="8"/>
      <c r="R177" s="8"/>
      <c r="S177" s="9" t="str">
        <f t="shared" si="34"/>
        <v/>
      </c>
      <c r="T177" s="2"/>
      <c r="U177" s="10"/>
      <c r="V177" s="10"/>
      <c r="W177" s="11" t="str">
        <f>IF(A177="","",SUMIFS('Exit Log'!$I$5:$I$304,'Exit Log'!$A$5:$A$304,A177))</f>
        <v/>
      </c>
      <c r="X177" s="11" t="str">
        <f t="shared" si="35"/>
        <v/>
      </c>
      <c r="Y177" s="9" t="e">
        <f>IF(W177=0,"",SUMIFS('Exit Log'!$N$5:$N$304,'Exit Log'!$A$5:$A$304,A177)/(W177*100))</f>
        <v>#VALUE!</v>
      </c>
      <c r="Z177" s="9" t="str">
        <f>IF(A177="","",SUMIFS('Exit Log'!$N$5:$N$304,'Exit Log'!$A$5:$A$304,A177))</f>
        <v/>
      </c>
      <c r="AA177" s="9" t="str">
        <f>IF(A177="","",SUMIFS('Exit Log'!$K$5:$K$304,'Exit Log'!$A$5:$A$304,A177))</f>
        <v/>
      </c>
      <c r="AB177" s="9" t="str">
        <f>IF(A177="","",SUMIFS('Exit Log'!$P$5:$P$304,'Exit Log'!$A$5:$A$304,A177))</f>
        <v/>
      </c>
      <c r="AC177" s="12" t="e">
        <f t="shared" si="36"/>
        <v>#VALUE!</v>
      </c>
      <c r="AD177" s="4" t="str">
        <f t="shared" si="37"/>
        <v/>
      </c>
      <c r="AE177" s="13">
        <f>IF(W177=0,"",LOOKUP(2,1/('Exit Log'!$A$5:$A$304=A177),'Exit Log'!$C$5:$C$304))</f>
        <v>0</v>
      </c>
      <c r="AF177" s="14">
        <f>IF(W177=0,"",LOOKUP(2,1/('Exit Log'!$A$5:$A$304=A177),'Exit Log'!$E$5:$E$304))</f>
        <v>0</v>
      </c>
      <c r="AG177" s="2"/>
      <c r="AH177" s="2"/>
      <c r="AI177" s="10"/>
      <c r="AJ177" s="2"/>
    </row>
    <row r="178" spans="1:36">
      <c r="A178" s="2"/>
      <c r="B178" s="3"/>
      <c r="C178" s="4" t="str">
        <f t="shared" si="32"/>
        <v/>
      </c>
      <c r="D178" s="5"/>
      <c r="E178" s="2"/>
      <c r="F178" s="2"/>
      <c r="G178" s="2"/>
      <c r="H178" s="2"/>
      <c r="I178" s="2"/>
      <c r="J178" s="2"/>
      <c r="K178" s="3"/>
      <c r="L178" s="4" t="str">
        <f t="shared" si="33"/>
        <v/>
      </c>
      <c r="M178" s="6"/>
      <c r="N178" s="2"/>
      <c r="O178" s="7"/>
      <c r="P178" s="8"/>
      <c r="Q178" s="8"/>
      <c r="R178" s="8"/>
      <c r="S178" s="9" t="str">
        <f t="shared" si="34"/>
        <v/>
      </c>
      <c r="T178" s="2"/>
      <c r="U178" s="10"/>
      <c r="V178" s="10"/>
      <c r="W178" s="11" t="str">
        <f>IF(A178="","",SUMIFS('Exit Log'!$I$5:$I$304,'Exit Log'!$A$5:$A$304,A178))</f>
        <v/>
      </c>
      <c r="X178" s="11" t="str">
        <f t="shared" si="35"/>
        <v/>
      </c>
      <c r="Y178" s="9" t="e">
        <f>IF(W178=0,"",SUMIFS('Exit Log'!$N$5:$N$304,'Exit Log'!$A$5:$A$304,A178)/(W178*100))</f>
        <v>#VALUE!</v>
      </c>
      <c r="Z178" s="9" t="str">
        <f>IF(A178="","",SUMIFS('Exit Log'!$N$5:$N$304,'Exit Log'!$A$5:$A$304,A178))</f>
        <v/>
      </c>
      <c r="AA178" s="9" t="str">
        <f>IF(A178="","",SUMIFS('Exit Log'!$K$5:$K$304,'Exit Log'!$A$5:$A$304,A178))</f>
        <v/>
      </c>
      <c r="AB178" s="9" t="str">
        <f>IF(A178="","",SUMIFS('Exit Log'!$P$5:$P$304,'Exit Log'!$A$5:$A$304,A178))</f>
        <v/>
      </c>
      <c r="AC178" s="12" t="e">
        <f t="shared" si="36"/>
        <v>#VALUE!</v>
      </c>
      <c r="AD178" s="4" t="str">
        <f t="shared" si="37"/>
        <v/>
      </c>
      <c r="AE178" s="13">
        <f>IF(W178=0,"",LOOKUP(2,1/('Exit Log'!$A$5:$A$304=A178),'Exit Log'!$C$5:$C$304))</f>
        <v>0</v>
      </c>
      <c r="AF178" s="14">
        <f>IF(W178=0,"",LOOKUP(2,1/('Exit Log'!$A$5:$A$304=A178),'Exit Log'!$E$5:$E$304))</f>
        <v>0</v>
      </c>
      <c r="AG178" s="2"/>
      <c r="AH178" s="2"/>
      <c r="AI178" s="10"/>
      <c r="AJ178" s="2"/>
    </row>
    <row r="179" spans="1:36">
      <c r="A179" s="2"/>
      <c r="B179" s="3"/>
      <c r="C179" s="4" t="str">
        <f t="shared" si="32"/>
        <v/>
      </c>
      <c r="D179" s="5"/>
      <c r="E179" s="2"/>
      <c r="F179" s="2"/>
      <c r="G179" s="2"/>
      <c r="H179" s="2"/>
      <c r="I179" s="2"/>
      <c r="J179" s="2"/>
      <c r="K179" s="3"/>
      <c r="L179" s="4" t="str">
        <f t="shared" si="33"/>
        <v/>
      </c>
      <c r="M179" s="6"/>
      <c r="N179" s="2"/>
      <c r="O179" s="7"/>
      <c r="P179" s="8"/>
      <c r="Q179" s="8"/>
      <c r="R179" s="8"/>
      <c r="S179" s="9" t="str">
        <f t="shared" si="34"/>
        <v/>
      </c>
      <c r="T179" s="2"/>
      <c r="U179" s="10"/>
      <c r="V179" s="10"/>
      <c r="W179" s="11" t="str">
        <f>IF(A179="","",SUMIFS('Exit Log'!$I$5:$I$304,'Exit Log'!$A$5:$A$304,A179))</f>
        <v/>
      </c>
      <c r="X179" s="11" t="str">
        <f t="shared" si="35"/>
        <v/>
      </c>
      <c r="Y179" s="9" t="e">
        <f>IF(W179=0,"",SUMIFS('Exit Log'!$N$5:$N$304,'Exit Log'!$A$5:$A$304,A179)/(W179*100))</f>
        <v>#VALUE!</v>
      </c>
      <c r="Z179" s="9" t="str">
        <f>IF(A179="","",SUMIFS('Exit Log'!$N$5:$N$304,'Exit Log'!$A$5:$A$304,A179))</f>
        <v/>
      </c>
      <c r="AA179" s="9" t="str">
        <f>IF(A179="","",SUMIFS('Exit Log'!$K$5:$K$304,'Exit Log'!$A$5:$A$304,A179))</f>
        <v/>
      </c>
      <c r="AB179" s="9" t="str">
        <f>IF(A179="","",SUMIFS('Exit Log'!$P$5:$P$304,'Exit Log'!$A$5:$A$304,A179))</f>
        <v/>
      </c>
      <c r="AC179" s="12" t="e">
        <f t="shared" si="36"/>
        <v>#VALUE!</v>
      </c>
      <c r="AD179" s="4" t="str">
        <f t="shared" si="37"/>
        <v/>
      </c>
      <c r="AE179" s="13">
        <f>IF(W179=0,"",LOOKUP(2,1/('Exit Log'!$A$5:$A$304=A179),'Exit Log'!$C$5:$C$304))</f>
        <v>0</v>
      </c>
      <c r="AF179" s="14">
        <f>IF(W179=0,"",LOOKUP(2,1/('Exit Log'!$A$5:$A$304=A179),'Exit Log'!$E$5:$E$304))</f>
        <v>0</v>
      </c>
      <c r="AG179" s="2"/>
      <c r="AH179" s="2"/>
      <c r="AI179" s="10"/>
      <c r="AJ179" s="2"/>
    </row>
    <row r="180" spans="1:36">
      <c r="A180" s="2"/>
      <c r="B180" s="3"/>
      <c r="C180" s="4" t="str">
        <f t="shared" si="32"/>
        <v/>
      </c>
      <c r="D180" s="5"/>
      <c r="E180" s="2"/>
      <c r="F180" s="2"/>
      <c r="G180" s="2"/>
      <c r="H180" s="2"/>
      <c r="I180" s="2"/>
      <c r="J180" s="2"/>
      <c r="K180" s="3"/>
      <c r="L180" s="4" t="str">
        <f t="shared" si="33"/>
        <v/>
      </c>
      <c r="M180" s="6"/>
      <c r="N180" s="2"/>
      <c r="O180" s="7"/>
      <c r="P180" s="8"/>
      <c r="Q180" s="8"/>
      <c r="R180" s="8"/>
      <c r="S180" s="9" t="str">
        <f t="shared" si="34"/>
        <v/>
      </c>
      <c r="T180" s="2"/>
      <c r="U180" s="10"/>
      <c r="V180" s="10"/>
      <c r="W180" s="11" t="str">
        <f>IF(A180="","",SUMIFS('Exit Log'!$I$5:$I$304,'Exit Log'!$A$5:$A$304,A180))</f>
        <v/>
      </c>
      <c r="X180" s="11" t="str">
        <f t="shared" si="35"/>
        <v/>
      </c>
      <c r="Y180" s="9" t="e">
        <f>IF(W180=0,"",SUMIFS('Exit Log'!$N$5:$N$304,'Exit Log'!$A$5:$A$304,A180)/(W180*100))</f>
        <v>#VALUE!</v>
      </c>
      <c r="Z180" s="9" t="str">
        <f>IF(A180="","",SUMIFS('Exit Log'!$N$5:$N$304,'Exit Log'!$A$5:$A$304,A180))</f>
        <v/>
      </c>
      <c r="AA180" s="9" t="str">
        <f>IF(A180="","",SUMIFS('Exit Log'!$K$5:$K$304,'Exit Log'!$A$5:$A$304,A180))</f>
        <v/>
      </c>
      <c r="AB180" s="9" t="str">
        <f>IF(A180="","",SUMIFS('Exit Log'!$P$5:$P$304,'Exit Log'!$A$5:$A$304,A180))</f>
        <v/>
      </c>
      <c r="AC180" s="12" t="e">
        <f t="shared" si="36"/>
        <v>#VALUE!</v>
      </c>
      <c r="AD180" s="4" t="str">
        <f t="shared" si="37"/>
        <v/>
      </c>
      <c r="AE180" s="13">
        <f>IF(W180=0,"",LOOKUP(2,1/('Exit Log'!$A$5:$A$304=A180),'Exit Log'!$C$5:$C$304))</f>
        <v>0</v>
      </c>
      <c r="AF180" s="14">
        <f>IF(W180=0,"",LOOKUP(2,1/('Exit Log'!$A$5:$A$304=A180),'Exit Log'!$E$5:$E$304))</f>
        <v>0</v>
      </c>
      <c r="AG180" s="2"/>
      <c r="AH180" s="2"/>
      <c r="AI180" s="10"/>
      <c r="AJ180" s="2"/>
    </row>
    <row r="181" spans="1:36">
      <c r="A181" s="2"/>
      <c r="B181" s="3"/>
      <c r="C181" s="4" t="str">
        <f t="shared" si="32"/>
        <v/>
      </c>
      <c r="D181" s="5"/>
      <c r="E181" s="2"/>
      <c r="F181" s="2"/>
      <c r="G181" s="2"/>
      <c r="H181" s="2"/>
      <c r="I181" s="2"/>
      <c r="J181" s="2"/>
      <c r="K181" s="3"/>
      <c r="L181" s="4" t="str">
        <f t="shared" si="33"/>
        <v/>
      </c>
      <c r="M181" s="6"/>
      <c r="N181" s="2"/>
      <c r="O181" s="7"/>
      <c r="P181" s="8"/>
      <c r="Q181" s="8"/>
      <c r="R181" s="8"/>
      <c r="S181" s="9" t="str">
        <f t="shared" si="34"/>
        <v/>
      </c>
      <c r="T181" s="2"/>
      <c r="U181" s="10"/>
      <c r="V181" s="10"/>
      <c r="W181" s="11" t="str">
        <f>IF(A181="","",SUMIFS('Exit Log'!$I$5:$I$304,'Exit Log'!$A$5:$A$304,A181))</f>
        <v/>
      </c>
      <c r="X181" s="11" t="str">
        <f t="shared" si="35"/>
        <v/>
      </c>
      <c r="Y181" s="9" t="e">
        <f>IF(W181=0,"",SUMIFS('Exit Log'!$N$5:$N$304,'Exit Log'!$A$5:$A$304,A181)/(W181*100))</f>
        <v>#VALUE!</v>
      </c>
      <c r="Z181" s="9" t="str">
        <f>IF(A181="","",SUMIFS('Exit Log'!$N$5:$N$304,'Exit Log'!$A$5:$A$304,A181))</f>
        <v/>
      </c>
      <c r="AA181" s="9" t="str">
        <f>IF(A181="","",SUMIFS('Exit Log'!$K$5:$K$304,'Exit Log'!$A$5:$A$304,A181))</f>
        <v/>
      </c>
      <c r="AB181" s="9" t="str">
        <f>IF(A181="","",SUMIFS('Exit Log'!$P$5:$P$304,'Exit Log'!$A$5:$A$304,A181))</f>
        <v/>
      </c>
      <c r="AC181" s="12" t="e">
        <f t="shared" si="36"/>
        <v>#VALUE!</v>
      </c>
      <c r="AD181" s="4" t="str">
        <f t="shared" si="37"/>
        <v/>
      </c>
      <c r="AE181" s="13">
        <f>IF(W181=0,"",LOOKUP(2,1/('Exit Log'!$A$5:$A$304=A181),'Exit Log'!$C$5:$C$304))</f>
        <v>0</v>
      </c>
      <c r="AF181" s="14">
        <f>IF(W181=0,"",LOOKUP(2,1/('Exit Log'!$A$5:$A$304=A181),'Exit Log'!$E$5:$E$304))</f>
        <v>0</v>
      </c>
      <c r="AG181" s="2"/>
      <c r="AH181" s="2"/>
      <c r="AI181" s="10"/>
      <c r="AJ181" s="2"/>
    </row>
    <row r="182" spans="1:36">
      <c r="A182" s="2"/>
      <c r="B182" s="3"/>
      <c r="C182" s="4" t="str">
        <f t="shared" si="32"/>
        <v/>
      </c>
      <c r="D182" s="5"/>
      <c r="E182" s="2"/>
      <c r="F182" s="2"/>
      <c r="G182" s="2"/>
      <c r="H182" s="2"/>
      <c r="I182" s="2"/>
      <c r="J182" s="2"/>
      <c r="K182" s="3"/>
      <c r="L182" s="4" t="str">
        <f t="shared" si="33"/>
        <v/>
      </c>
      <c r="M182" s="6"/>
      <c r="N182" s="2"/>
      <c r="O182" s="7"/>
      <c r="P182" s="8"/>
      <c r="Q182" s="8"/>
      <c r="R182" s="8"/>
      <c r="S182" s="9" t="str">
        <f t="shared" si="34"/>
        <v/>
      </c>
      <c r="T182" s="2"/>
      <c r="U182" s="10"/>
      <c r="V182" s="10"/>
      <c r="W182" s="11" t="str">
        <f>IF(A182="","",SUMIFS('Exit Log'!$I$5:$I$304,'Exit Log'!$A$5:$A$304,A182))</f>
        <v/>
      </c>
      <c r="X182" s="11" t="str">
        <f t="shared" si="35"/>
        <v/>
      </c>
      <c r="Y182" s="9" t="e">
        <f>IF(W182=0,"",SUMIFS('Exit Log'!$N$5:$N$304,'Exit Log'!$A$5:$A$304,A182)/(W182*100))</f>
        <v>#VALUE!</v>
      </c>
      <c r="Z182" s="9" t="str">
        <f>IF(A182="","",SUMIFS('Exit Log'!$N$5:$N$304,'Exit Log'!$A$5:$A$304,A182))</f>
        <v/>
      </c>
      <c r="AA182" s="9" t="str">
        <f>IF(A182="","",SUMIFS('Exit Log'!$K$5:$K$304,'Exit Log'!$A$5:$A$304,A182))</f>
        <v/>
      </c>
      <c r="AB182" s="9" t="str">
        <f>IF(A182="","",SUMIFS('Exit Log'!$P$5:$P$304,'Exit Log'!$A$5:$A$304,A182))</f>
        <v/>
      </c>
      <c r="AC182" s="12" t="e">
        <f t="shared" si="36"/>
        <v>#VALUE!</v>
      </c>
      <c r="AD182" s="4" t="str">
        <f t="shared" si="37"/>
        <v/>
      </c>
      <c r="AE182" s="13">
        <f>IF(W182=0,"",LOOKUP(2,1/('Exit Log'!$A$5:$A$304=A182),'Exit Log'!$C$5:$C$304))</f>
        <v>0</v>
      </c>
      <c r="AF182" s="14">
        <f>IF(W182=0,"",LOOKUP(2,1/('Exit Log'!$A$5:$A$304=A182),'Exit Log'!$E$5:$E$304))</f>
        <v>0</v>
      </c>
      <c r="AG182" s="2"/>
      <c r="AH182" s="2"/>
      <c r="AI182" s="10"/>
      <c r="AJ182" s="2"/>
    </row>
    <row r="183" spans="1:36">
      <c r="A183" s="2"/>
      <c r="B183" s="3"/>
      <c r="C183" s="4" t="str">
        <f t="shared" si="32"/>
        <v/>
      </c>
      <c r="D183" s="5"/>
      <c r="E183" s="2"/>
      <c r="F183" s="2"/>
      <c r="G183" s="2"/>
      <c r="H183" s="2"/>
      <c r="I183" s="2"/>
      <c r="J183" s="2"/>
      <c r="K183" s="3"/>
      <c r="L183" s="4" t="str">
        <f t="shared" si="33"/>
        <v/>
      </c>
      <c r="M183" s="6"/>
      <c r="N183" s="2"/>
      <c r="O183" s="7"/>
      <c r="P183" s="8"/>
      <c r="Q183" s="8"/>
      <c r="R183" s="8"/>
      <c r="S183" s="9" t="str">
        <f t="shared" si="34"/>
        <v/>
      </c>
      <c r="T183" s="2"/>
      <c r="U183" s="10"/>
      <c r="V183" s="10"/>
      <c r="W183" s="11" t="str">
        <f>IF(A183="","",SUMIFS('Exit Log'!$I$5:$I$304,'Exit Log'!$A$5:$A$304,A183))</f>
        <v/>
      </c>
      <c r="X183" s="11" t="str">
        <f t="shared" si="35"/>
        <v/>
      </c>
      <c r="Y183" s="9" t="e">
        <f>IF(W183=0,"",SUMIFS('Exit Log'!$N$5:$N$304,'Exit Log'!$A$5:$A$304,A183)/(W183*100))</f>
        <v>#VALUE!</v>
      </c>
      <c r="Z183" s="9" t="str">
        <f>IF(A183="","",SUMIFS('Exit Log'!$N$5:$N$304,'Exit Log'!$A$5:$A$304,A183))</f>
        <v/>
      </c>
      <c r="AA183" s="9" t="str">
        <f>IF(A183="","",SUMIFS('Exit Log'!$K$5:$K$304,'Exit Log'!$A$5:$A$304,A183))</f>
        <v/>
      </c>
      <c r="AB183" s="9" t="str">
        <f>IF(A183="","",SUMIFS('Exit Log'!$P$5:$P$304,'Exit Log'!$A$5:$A$304,A183))</f>
        <v/>
      </c>
      <c r="AC183" s="12" t="e">
        <f t="shared" si="36"/>
        <v>#VALUE!</v>
      </c>
      <c r="AD183" s="4" t="str">
        <f t="shared" si="37"/>
        <v/>
      </c>
      <c r="AE183" s="13">
        <f>IF(W183=0,"",LOOKUP(2,1/('Exit Log'!$A$5:$A$304=A183),'Exit Log'!$C$5:$C$304))</f>
        <v>0</v>
      </c>
      <c r="AF183" s="14">
        <f>IF(W183=0,"",LOOKUP(2,1/('Exit Log'!$A$5:$A$304=A183),'Exit Log'!$E$5:$E$304))</f>
        <v>0</v>
      </c>
      <c r="AG183" s="2"/>
      <c r="AH183" s="2"/>
      <c r="AI183" s="10"/>
      <c r="AJ183" s="2"/>
    </row>
    <row r="184" spans="1:36">
      <c r="A184" s="2"/>
      <c r="B184" s="3"/>
      <c r="C184" s="4" t="str">
        <f t="shared" si="32"/>
        <v/>
      </c>
      <c r="D184" s="5"/>
      <c r="E184" s="2"/>
      <c r="F184" s="2"/>
      <c r="G184" s="2"/>
      <c r="H184" s="2"/>
      <c r="I184" s="2"/>
      <c r="J184" s="2"/>
      <c r="K184" s="3"/>
      <c r="L184" s="4" t="str">
        <f t="shared" si="33"/>
        <v/>
      </c>
      <c r="M184" s="6"/>
      <c r="N184" s="2"/>
      <c r="O184" s="7"/>
      <c r="P184" s="8"/>
      <c r="Q184" s="8"/>
      <c r="R184" s="8"/>
      <c r="S184" s="9" t="str">
        <f t="shared" si="34"/>
        <v/>
      </c>
      <c r="T184" s="2"/>
      <c r="U184" s="10"/>
      <c r="V184" s="10"/>
      <c r="W184" s="11" t="str">
        <f>IF(A184="","",SUMIFS('Exit Log'!$I$5:$I$304,'Exit Log'!$A$5:$A$304,A184))</f>
        <v/>
      </c>
      <c r="X184" s="11" t="str">
        <f t="shared" si="35"/>
        <v/>
      </c>
      <c r="Y184" s="9" t="e">
        <f>IF(W184=0,"",SUMIFS('Exit Log'!$N$5:$N$304,'Exit Log'!$A$5:$A$304,A184)/(W184*100))</f>
        <v>#VALUE!</v>
      </c>
      <c r="Z184" s="9" t="str">
        <f>IF(A184="","",SUMIFS('Exit Log'!$N$5:$N$304,'Exit Log'!$A$5:$A$304,A184))</f>
        <v/>
      </c>
      <c r="AA184" s="9" t="str">
        <f>IF(A184="","",SUMIFS('Exit Log'!$K$5:$K$304,'Exit Log'!$A$5:$A$304,A184))</f>
        <v/>
      </c>
      <c r="AB184" s="9" t="str">
        <f>IF(A184="","",SUMIFS('Exit Log'!$P$5:$P$304,'Exit Log'!$A$5:$A$304,A184))</f>
        <v/>
      </c>
      <c r="AC184" s="12" t="e">
        <f t="shared" si="36"/>
        <v>#VALUE!</v>
      </c>
      <c r="AD184" s="4" t="str">
        <f t="shared" si="37"/>
        <v/>
      </c>
      <c r="AE184" s="13">
        <f>IF(W184=0,"",LOOKUP(2,1/('Exit Log'!$A$5:$A$304=A184),'Exit Log'!$C$5:$C$304))</f>
        <v>0</v>
      </c>
      <c r="AF184" s="14">
        <f>IF(W184=0,"",LOOKUP(2,1/('Exit Log'!$A$5:$A$304=A184),'Exit Log'!$E$5:$E$304))</f>
        <v>0</v>
      </c>
      <c r="AG184" s="2"/>
      <c r="AH184" s="2"/>
      <c r="AI184" s="10"/>
      <c r="AJ184" s="2"/>
    </row>
    <row r="185" spans="1:36">
      <c r="A185" s="2"/>
      <c r="B185" s="3"/>
      <c r="C185" s="4" t="str">
        <f t="shared" si="32"/>
        <v/>
      </c>
      <c r="D185" s="5"/>
      <c r="E185" s="2"/>
      <c r="F185" s="2"/>
      <c r="G185" s="2"/>
      <c r="H185" s="2"/>
      <c r="I185" s="2"/>
      <c r="J185" s="2"/>
      <c r="K185" s="3"/>
      <c r="L185" s="4" t="str">
        <f t="shared" si="33"/>
        <v/>
      </c>
      <c r="M185" s="6"/>
      <c r="N185" s="2"/>
      <c r="O185" s="7"/>
      <c r="P185" s="8"/>
      <c r="Q185" s="8"/>
      <c r="R185" s="8"/>
      <c r="S185" s="9" t="str">
        <f t="shared" si="34"/>
        <v/>
      </c>
      <c r="T185" s="2"/>
      <c r="U185" s="10"/>
      <c r="V185" s="10"/>
      <c r="W185" s="11" t="str">
        <f>IF(A185="","",SUMIFS('Exit Log'!$I$5:$I$304,'Exit Log'!$A$5:$A$304,A185))</f>
        <v/>
      </c>
      <c r="X185" s="11" t="str">
        <f t="shared" si="35"/>
        <v/>
      </c>
      <c r="Y185" s="9" t="e">
        <f>IF(W185=0,"",SUMIFS('Exit Log'!$N$5:$N$304,'Exit Log'!$A$5:$A$304,A185)/(W185*100))</f>
        <v>#VALUE!</v>
      </c>
      <c r="Z185" s="9" t="str">
        <f>IF(A185="","",SUMIFS('Exit Log'!$N$5:$N$304,'Exit Log'!$A$5:$A$304,A185))</f>
        <v/>
      </c>
      <c r="AA185" s="9" t="str">
        <f>IF(A185="","",SUMIFS('Exit Log'!$K$5:$K$304,'Exit Log'!$A$5:$A$304,A185))</f>
        <v/>
      </c>
      <c r="AB185" s="9" t="str">
        <f>IF(A185="","",SUMIFS('Exit Log'!$P$5:$P$304,'Exit Log'!$A$5:$A$304,A185))</f>
        <v/>
      </c>
      <c r="AC185" s="12" t="e">
        <f t="shared" si="36"/>
        <v>#VALUE!</v>
      </c>
      <c r="AD185" s="4" t="str">
        <f t="shared" si="37"/>
        <v/>
      </c>
      <c r="AE185" s="13">
        <f>IF(W185=0,"",LOOKUP(2,1/('Exit Log'!$A$5:$A$304=A185),'Exit Log'!$C$5:$C$304))</f>
        <v>0</v>
      </c>
      <c r="AF185" s="14">
        <f>IF(W185=0,"",LOOKUP(2,1/('Exit Log'!$A$5:$A$304=A185),'Exit Log'!$E$5:$E$304))</f>
        <v>0</v>
      </c>
      <c r="AG185" s="2"/>
      <c r="AH185" s="2"/>
      <c r="AI185" s="10"/>
      <c r="AJ185" s="2"/>
    </row>
    <row r="186" spans="1:36">
      <c r="A186" s="2"/>
      <c r="B186" s="3"/>
      <c r="C186" s="4" t="str">
        <f t="shared" si="32"/>
        <v/>
      </c>
      <c r="D186" s="5"/>
      <c r="E186" s="2"/>
      <c r="F186" s="2"/>
      <c r="G186" s="2"/>
      <c r="H186" s="2"/>
      <c r="I186" s="2"/>
      <c r="J186" s="2"/>
      <c r="K186" s="3"/>
      <c r="L186" s="4" t="str">
        <f t="shared" si="33"/>
        <v/>
      </c>
      <c r="M186" s="6"/>
      <c r="N186" s="2"/>
      <c r="O186" s="7"/>
      <c r="P186" s="8"/>
      <c r="Q186" s="8"/>
      <c r="R186" s="8"/>
      <c r="S186" s="9" t="str">
        <f t="shared" si="34"/>
        <v/>
      </c>
      <c r="T186" s="2"/>
      <c r="U186" s="10"/>
      <c r="V186" s="10"/>
      <c r="W186" s="11" t="str">
        <f>IF(A186="","",SUMIFS('Exit Log'!$I$5:$I$304,'Exit Log'!$A$5:$A$304,A186))</f>
        <v/>
      </c>
      <c r="X186" s="11" t="str">
        <f t="shared" si="35"/>
        <v/>
      </c>
      <c r="Y186" s="9" t="e">
        <f>IF(W186=0,"",SUMIFS('Exit Log'!$N$5:$N$304,'Exit Log'!$A$5:$A$304,A186)/(W186*100))</f>
        <v>#VALUE!</v>
      </c>
      <c r="Z186" s="9" t="str">
        <f>IF(A186="","",SUMIFS('Exit Log'!$N$5:$N$304,'Exit Log'!$A$5:$A$304,A186))</f>
        <v/>
      </c>
      <c r="AA186" s="9" t="str">
        <f>IF(A186="","",SUMIFS('Exit Log'!$K$5:$K$304,'Exit Log'!$A$5:$A$304,A186))</f>
        <v/>
      </c>
      <c r="AB186" s="9" t="str">
        <f>IF(A186="","",SUMIFS('Exit Log'!$P$5:$P$304,'Exit Log'!$A$5:$A$304,A186))</f>
        <v/>
      </c>
      <c r="AC186" s="12" t="e">
        <f t="shared" si="36"/>
        <v>#VALUE!</v>
      </c>
      <c r="AD186" s="4" t="str">
        <f t="shared" si="37"/>
        <v/>
      </c>
      <c r="AE186" s="13">
        <f>IF(W186=0,"",LOOKUP(2,1/('Exit Log'!$A$5:$A$304=A186),'Exit Log'!$C$5:$C$304))</f>
        <v>0</v>
      </c>
      <c r="AF186" s="14">
        <f>IF(W186=0,"",LOOKUP(2,1/('Exit Log'!$A$5:$A$304=A186),'Exit Log'!$E$5:$E$304))</f>
        <v>0</v>
      </c>
      <c r="AG186" s="2"/>
      <c r="AH186" s="2"/>
      <c r="AI186" s="10"/>
      <c r="AJ186" s="2"/>
    </row>
    <row r="187" spans="1:36">
      <c r="A187" s="2"/>
      <c r="B187" s="3"/>
      <c r="C187" s="4" t="str">
        <f t="shared" si="32"/>
        <v/>
      </c>
      <c r="D187" s="5"/>
      <c r="E187" s="2"/>
      <c r="F187" s="2"/>
      <c r="G187" s="2"/>
      <c r="H187" s="2"/>
      <c r="I187" s="2"/>
      <c r="J187" s="2"/>
      <c r="K187" s="3"/>
      <c r="L187" s="4" t="str">
        <f t="shared" si="33"/>
        <v/>
      </c>
      <c r="M187" s="6"/>
      <c r="N187" s="2"/>
      <c r="O187" s="7"/>
      <c r="P187" s="8"/>
      <c r="Q187" s="8"/>
      <c r="R187" s="8"/>
      <c r="S187" s="9" t="str">
        <f t="shared" si="34"/>
        <v/>
      </c>
      <c r="T187" s="2"/>
      <c r="U187" s="10"/>
      <c r="V187" s="10"/>
      <c r="W187" s="11" t="str">
        <f>IF(A187="","",SUMIFS('Exit Log'!$I$5:$I$304,'Exit Log'!$A$5:$A$304,A187))</f>
        <v/>
      </c>
      <c r="X187" s="11" t="str">
        <f t="shared" si="35"/>
        <v/>
      </c>
      <c r="Y187" s="9" t="e">
        <f>IF(W187=0,"",SUMIFS('Exit Log'!$N$5:$N$304,'Exit Log'!$A$5:$A$304,A187)/(W187*100))</f>
        <v>#VALUE!</v>
      </c>
      <c r="Z187" s="9" t="str">
        <f>IF(A187="","",SUMIFS('Exit Log'!$N$5:$N$304,'Exit Log'!$A$5:$A$304,A187))</f>
        <v/>
      </c>
      <c r="AA187" s="9" t="str">
        <f>IF(A187="","",SUMIFS('Exit Log'!$K$5:$K$304,'Exit Log'!$A$5:$A$304,A187))</f>
        <v/>
      </c>
      <c r="AB187" s="9" t="str">
        <f>IF(A187="","",SUMIFS('Exit Log'!$P$5:$P$304,'Exit Log'!$A$5:$A$304,A187))</f>
        <v/>
      </c>
      <c r="AC187" s="12" t="e">
        <f t="shared" si="36"/>
        <v>#VALUE!</v>
      </c>
      <c r="AD187" s="4" t="str">
        <f t="shared" si="37"/>
        <v/>
      </c>
      <c r="AE187" s="13">
        <f>IF(W187=0,"",LOOKUP(2,1/('Exit Log'!$A$5:$A$304=A187),'Exit Log'!$C$5:$C$304))</f>
        <v>0</v>
      </c>
      <c r="AF187" s="14">
        <f>IF(W187=0,"",LOOKUP(2,1/('Exit Log'!$A$5:$A$304=A187),'Exit Log'!$E$5:$E$304))</f>
        <v>0</v>
      </c>
      <c r="AG187" s="2"/>
      <c r="AH187" s="2"/>
      <c r="AI187" s="10"/>
      <c r="AJ187" s="2"/>
    </row>
    <row r="188" spans="1:36">
      <c r="A188" s="2"/>
      <c r="B188" s="3"/>
      <c r="C188" s="4" t="str">
        <f t="shared" si="32"/>
        <v/>
      </c>
      <c r="D188" s="5"/>
      <c r="E188" s="2"/>
      <c r="F188" s="2"/>
      <c r="G188" s="2"/>
      <c r="H188" s="2"/>
      <c r="I188" s="2"/>
      <c r="J188" s="2"/>
      <c r="K188" s="3"/>
      <c r="L188" s="4" t="str">
        <f t="shared" si="33"/>
        <v/>
      </c>
      <c r="M188" s="6"/>
      <c r="N188" s="2"/>
      <c r="O188" s="7"/>
      <c r="P188" s="8"/>
      <c r="Q188" s="8"/>
      <c r="R188" s="8"/>
      <c r="S188" s="9" t="str">
        <f t="shared" si="34"/>
        <v/>
      </c>
      <c r="T188" s="2"/>
      <c r="U188" s="10"/>
      <c r="V188" s="10"/>
      <c r="W188" s="11" t="str">
        <f>IF(A188="","",SUMIFS('Exit Log'!$I$5:$I$304,'Exit Log'!$A$5:$A$304,A188))</f>
        <v/>
      </c>
      <c r="X188" s="11" t="str">
        <f t="shared" si="35"/>
        <v/>
      </c>
      <c r="Y188" s="9" t="e">
        <f>IF(W188=0,"",SUMIFS('Exit Log'!$N$5:$N$304,'Exit Log'!$A$5:$A$304,A188)/(W188*100))</f>
        <v>#VALUE!</v>
      </c>
      <c r="Z188" s="9" t="str">
        <f>IF(A188="","",SUMIFS('Exit Log'!$N$5:$N$304,'Exit Log'!$A$5:$A$304,A188))</f>
        <v/>
      </c>
      <c r="AA188" s="9" t="str">
        <f>IF(A188="","",SUMIFS('Exit Log'!$K$5:$K$304,'Exit Log'!$A$5:$A$304,A188))</f>
        <v/>
      </c>
      <c r="AB188" s="9" t="str">
        <f>IF(A188="","",SUMIFS('Exit Log'!$P$5:$P$304,'Exit Log'!$A$5:$A$304,A188))</f>
        <v/>
      </c>
      <c r="AC188" s="12" t="e">
        <f t="shared" si="36"/>
        <v>#VALUE!</v>
      </c>
      <c r="AD188" s="4" t="str">
        <f t="shared" si="37"/>
        <v/>
      </c>
      <c r="AE188" s="13">
        <f>IF(W188=0,"",LOOKUP(2,1/('Exit Log'!$A$5:$A$304=A188),'Exit Log'!$C$5:$C$304))</f>
        <v>0</v>
      </c>
      <c r="AF188" s="14">
        <f>IF(W188=0,"",LOOKUP(2,1/('Exit Log'!$A$5:$A$304=A188),'Exit Log'!$E$5:$E$304))</f>
        <v>0</v>
      </c>
      <c r="AG188" s="2"/>
      <c r="AH188" s="2"/>
      <c r="AI188" s="10"/>
      <c r="AJ188" s="2"/>
    </row>
    <row r="189" spans="1:36">
      <c r="A189" s="2"/>
      <c r="B189" s="3"/>
      <c r="C189" s="4" t="str">
        <f t="shared" si="32"/>
        <v/>
      </c>
      <c r="D189" s="5"/>
      <c r="E189" s="2"/>
      <c r="F189" s="2"/>
      <c r="G189" s="2"/>
      <c r="H189" s="2"/>
      <c r="I189" s="2"/>
      <c r="J189" s="2"/>
      <c r="K189" s="3"/>
      <c r="L189" s="4" t="str">
        <f t="shared" si="33"/>
        <v/>
      </c>
      <c r="M189" s="6"/>
      <c r="N189" s="2"/>
      <c r="O189" s="7"/>
      <c r="P189" s="8"/>
      <c r="Q189" s="8"/>
      <c r="R189" s="8"/>
      <c r="S189" s="9" t="str">
        <f t="shared" si="34"/>
        <v/>
      </c>
      <c r="T189" s="2"/>
      <c r="U189" s="10"/>
      <c r="V189" s="10"/>
      <c r="W189" s="11" t="str">
        <f>IF(A189="","",SUMIFS('Exit Log'!$I$5:$I$304,'Exit Log'!$A$5:$A$304,A189))</f>
        <v/>
      </c>
      <c r="X189" s="11" t="str">
        <f t="shared" si="35"/>
        <v/>
      </c>
      <c r="Y189" s="9" t="e">
        <f>IF(W189=0,"",SUMIFS('Exit Log'!$N$5:$N$304,'Exit Log'!$A$5:$A$304,A189)/(W189*100))</f>
        <v>#VALUE!</v>
      </c>
      <c r="Z189" s="9" t="str">
        <f>IF(A189="","",SUMIFS('Exit Log'!$N$5:$N$304,'Exit Log'!$A$5:$A$304,A189))</f>
        <v/>
      </c>
      <c r="AA189" s="9" t="str">
        <f>IF(A189="","",SUMIFS('Exit Log'!$K$5:$K$304,'Exit Log'!$A$5:$A$304,A189))</f>
        <v/>
      </c>
      <c r="AB189" s="9" t="str">
        <f>IF(A189="","",SUMIFS('Exit Log'!$P$5:$P$304,'Exit Log'!$A$5:$A$304,A189))</f>
        <v/>
      </c>
      <c r="AC189" s="12" t="e">
        <f t="shared" si="36"/>
        <v>#VALUE!</v>
      </c>
      <c r="AD189" s="4" t="str">
        <f t="shared" si="37"/>
        <v/>
      </c>
      <c r="AE189" s="13">
        <f>IF(W189=0,"",LOOKUP(2,1/('Exit Log'!$A$5:$A$304=A189),'Exit Log'!$C$5:$C$304))</f>
        <v>0</v>
      </c>
      <c r="AF189" s="14">
        <f>IF(W189=0,"",LOOKUP(2,1/('Exit Log'!$A$5:$A$304=A189),'Exit Log'!$E$5:$E$304))</f>
        <v>0</v>
      </c>
      <c r="AG189" s="2"/>
      <c r="AH189" s="2"/>
      <c r="AI189" s="10"/>
      <c r="AJ189" s="2"/>
    </row>
    <row r="190" spans="1:36">
      <c r="A190" s="2"/>
      <c r="B190" s="3"/>
      <c r="C190" s="4" t="str">
        <f t="shared" si="32"/>
        <v/>
      </c>
      <c r="D190" s="5"/>
      <c r="E190" s="2"/>
      <c r="F190" s="2"/>
      <c r="G190" s="2"/>
      <c r="H190" s="2"/>
      <c r="I190" s="2"/>
      <c r="J190" s="2"/>
      <c r="K190" s="3"/>
      <c r="L190" s="4" t="str">
        <f t="shared" si="33"/>
        <v/>
      </c>
      <c r="M190" s="6"/>
      <c r="N190" s="2"/>
      <c r="O190" s="7"/>
      <c r="P190" s="8"/>
      <c r="Q190" s="8"/>
      <c r="R190" s="8"/>
      <c r="S190" s="9" t="str">
        <f t="shared" si="34"/>
        <v/>
      </c>
      <c r="T190" s="2"/>
      <c r="U190" s="10"/>
      <c r="V190" s="10"/>
      <c r="W190" s="11" t="str">
        <f>IF(A190="","",SUMIFS('Exit Log'!$I$5:$I$304,'Exit Log'!$A$5:$A$304,A190))</f>
        <v/>
      </c>
      <c r="X190" s="11" t="str">
        <f t="shared" si="35"/>
        <v/>
      </c>
      <c r="Y190" s="9" t="e">
        <f>IF(W190=0,"",SUMIFS('Exit Log'!$N$5:$N$304,'Exit Log'!$A$5:$A$304,A190)/(W190*100))</f>
        <v>#VALUE!</v>
      </c>
      <c r="Z190" s="9" t="str">
        <f>IF(A190="","",SUMIFS('Exit Log'!$N$5:$N$304,'Exit Log'!$A$5:$A$304,A190))</f>
        <v/>
      </c>
      <c r="AA190" s="9" t="str">
        <f>IF(A190="","",SUMIFS('Exit Log'!$K$5:$K$304,'Exit Log'!$A$5:$A$304,A190))</f>
        <v/>
      </c>
      <c r="AB190" s="9" t="str">
        <f>IF(A190="","",SUMIFS('Exit Log'!$P$5:$P$304,'Exit Log'!$A$5:$A$304,A190))</f>
        <v/>
      </c>
      <c r="AC190" s="12" t="e">
        <f t="shared" si="36"/>
        <v>#VALUE!</v>
      </c>
      <c r="AD190" s="4" t="str">
        <f t="shared" si="37"/>
        <v/>
      </c>
      <c r="AE190" s="13">
        <f>IF(W190=0,"",LOOKUP(2,1/('Exit Log'!$A$5:$A$304=A190),'Exit Log'!$C$5:$C$304))</f>
        <v>0</v>
      </c>
      <c r="AF190" s="14">
        <f>IF(W190=0,"",LOOKUP(2,1/('Exit Log'!$A$5:$A$304=A190),'Exit Log'!$E$5:$E$304))</f>
        <v>0</v>
      </c>
      <c r="AG190" s="2"/>
      <c r="AH190" s="2"/>
      <c r="AI190" s="10"/>
      <c r="AJ190" s="2"/>
    </row>
    <row r="191" spans="1:36">
      <c r="A191" s="2"/>
      <c r="B191" s="3"/>
      <c r="C191" s="4" t="str">
        <f t="shared" si="32"/>
        <v/>
      </c>
      <c r="D191" s="5"/>
      <c r="E191" s="2"/>
      <c r="F191" s="2"/>
      <c r="G191" s="2"/>
      <c r="H191" s="2"/>
      <c r="I191" s="2"/>
      <c r="J191" s="2"/>
      <c r="K191" s="3"/>
      <c r="L191" s="4" t="str">
        <f t="shared" si="33"/>
        <v/>
      </c>
      <c r="M191" s="6"/>
      <c r="N191" s="2"/>
      <c r="O191" s="7"/>
      <c r="P191" s="8"/>
      <c r="Q191" s="8"/>
      <c r="R191" s="8"/>
      <c r="S191" s="9" t="str">
        <f t="shared" si="34"/>
        <v/>
      </c>
      <c r="T191" s="2"/>
      <c r="U191" s="10"/>
      <c r="V191" s="10"/>
      <c r="W191" s="11" t="str">
        <f>IF(A191="","",SUMIFS('Exit Log'!$I$5:$I$304,'Exit Log'!$A$5:$A$304,A191))</f>
        <v/>
      </c>
      <c r="X191" s="11" t="str">
        <f t="shared" si="35"/>
        <v/>
      </c>
      <c r="Y191" s="9" t="e">
        <f>IF(W191=0,"",SUMIFS('Exit Log'!$N$5:$N$304,'Exit Log'!$A$5:$A$304,A191)/(W191*100))</f>
        <v>#VALUE!</v>
      </c>
      <c r="Z191" s="9" t="str">
        <f>IF(A191="","",SUMIFS('Exit Log'!$N$5:$N$304,'Exit Log'!$A$5:$A$304,A191))</f>
        <v/>
      </c>
      <c r="AA191" s="9" t="str">
        <f>IF(A191="","",SUMIFS('Exit Log'!$K$5:$K$304,'Exit Log'!$A$5:$A$304,A191))</f>
        <v/>
      </c>
      <c r="AB191" s="9" t="str">
        <f>IF(A191="","",SUMIFS('Exit Log'!$P$5:$P$304,'Exit Log'!$A$5:$A$304,A191))</f>
        <v/>
      </c>
      <c r="AC191" s="12" t="e">
        <f t="shared" si="36"/>
        <v>#VALUE!</v>
      </c>
      <c r="AD191" s="4" t="str">
        <f t="shared" si="37"/>
        <v/>
      </c>
      <c r="AE191" s="13">
        <f>IF(W191=0,"",LOOKUP(2,1/('Exit Log'!$A$5:$A$304=A191),'Exit Log'!$C$5:$C$304))</f>
        <v>0</v>
      </c>
      <c r="AF191" s="14">
        <f>IF(W191=0,"",LOOKUP(2,1/('Exit Log'!$A$5:$A$304=A191),'Exit Log'!$E$5:$E$304))</f>
        <v>0</v>
      </c>
      <c r="AG191" s="2"/>
      <c r="AH191" s="2"/>
      <c r="AI191" s="10"/>
      <c r="AJ191" s="2"/>
    </row>
    <row r="192" spans="1:36">
      <c r="A192" s="2"/>
      <c r="B192" s="3"/>
      <c r="C192" s="4" t="str">
        <f t="shared" si="32"/>
        <v/>
      </c>
      <c r="D192" s="5"/>
      <c r="E192" s="2"/>
      <c r="F192" s="2"/>
      <c r="G192" s="2"/>
      <c r="H192" s="2"/>
      <c r="I192" s="2"/>
      <c r="J192" s="2"/>
      <c r="K192" s="3"/>
      <c r="L192" s="4" t="str">
        <f t="shared" si="33"/>
        <v/>
      </c>
      <c r="M192" s="6"/>
      <c r="N192" s="2"/>
      <c r="O192" s="7"/>
      <c r="P192" s="8"/>
      <c r="Q192" s="8"/>
      <c r="R192" s="8"/>
      <c r="S192" s="9" t="str">
        <f t="shared" si="34"/>
        <v/>
      </c>
      <c r="T192" s="2"/>
      <c r="U192" s="10"/>
      <c r="V192" s="10"/>
      <c r="W192" s="11" t="str">
        <f>IF(A192="","",SUMIFS('Exit Log'!$I$5:$I$304,'Exit Log'!$A$5:$A$304,A192))</f>
        <v/>
      </c>
      <c r="X192" s="11" t="str">
        <f t="shared" si="35"/>
        <v/>
      </c>
      <c r="Y192" s="9" t="e">
        <f>IF(W192=0,"",SUMIFS('Exit Log'!$N$5:$N$304,'Exit Log'!$A$5:$A$304,A192)/(W192*100))</f>
        <v>#VALUE!</v>
      </c>
      <c r="Z192" s="9" t="str">
        <f>IF(A192="","",SUMIFS('Exit Log'!$N$5:$N$304,'Exit Log'!$A$5:$A$304,A192))</f>
        <v/>
      </c>
      <c r="AA192" s="9" t="str">
        <f>IF(A192="","",SUMIFS('Exit Log'!$K$5:$K$304,'Exit Log'!$A$5:$A$304,A192))</f>
        <v/>
      </c>
      <c r="AB192" s="9" t="str">
        <f>IF(A192="","",SUMIFS('Exit Log'!$P$5:$P$304,'Exit Log'!$A$5:$A$304,A192))</f>
        <v/>
      </c>
      <c r="AC192" s="12" t="e">
        <f t="shared" si="36"/>
        <v>#VALUE!</v>
      </c>
      <c r="AD192" s="4" t="str">
        <f t="shared" si="37"/>
        <v/>
      </c>
      <c r="AE192" s="13">
        <f>IF(W192=0,"",LOOKUP(2,1/('Exit Log'!$A$5:$A$304=A192),'Exit Log'!$C$5:$C$304))</f>
        <v>0</v>
      </c>
      <c r="AF192" s="14">
        <f>IF(W192=0,"",LOOKUP(2,1/('Exit Log'!$A$5:$A$304=A192),'Exit Log'!$E$5:$E$304))</f>
        <v>0</v>
      </c>
      <c r="AG192" s="2"/>
      <c r="AH192" s="2"/>
      <c r="AI192" s="10"/>
      <c r="AJ192" s="2"/>
    </row>
    <row r="193" spans="1:36">
      <c r="A193" s="2"/>
      <c r="B193" s="3"/>
      <c r="C193" s="4" t="str">
        <f t="shared" si="32"/>
        <v/>
      </c>
      <c r="D193" s="5"/>
      <c r="E193" s="2"/>
      <c r="F193" s="2"/>
      <c r="G193" s="2"/>
      <c r="H193" s="2"/>
      <c r="I193" s="2"/>
      <c r="J193" s="2"/>
      <c r="K193" s="3"/>
      <c r="L193" s="4" t="str">
        <f t="shared" si="33"/>
        <v/>
      </c>
      <c r="M193" s="6"/>
      <c r="N193" s="2"/>
      <c r="O193" s="7"/>
      <c r="P193" s="8"/>
      <c r="Q193" s="8"/>
      <c r="R193" s="8"/>
      <c r="S193" s="9" t="str">
        <f t="shared" si="34"/>
        <v/>
      </c>
      <c r="T193" s="2"/>
      <c r="U193" s="10"/>
      <c r="V193" s="10"/>
      <c r="W193" s="11" t="str">
        <f>IF(A193="","",SUMIFS('Exit Log'!$I$5:$I$304,'Exit Log'!$A$5:$A$304,A193))</f>
        <v/>
      </c>
      <c r="X193" s="11" t="str">
        <f t="shared" si="35"/>
        <v/>
      </c>
      <c r="Y193" s="9" t="e">
        <f>IF(W193=0,"",SUMIFS('Exit Log'!$N$5:$N$304,'Exit Log'!$A$5:$A$304,A193)/(W193*100))</f>
        <v>#VALUE!</v>
      </c>
      <c r="Z193" s="9" t="str">
        <f>IF(A193="","",SUMIFS('Exit Log'!$N$5:$N$304,'Exit Log'!$A$5:$A$304,A193))</f>
        <v/>
      </c>
      <c r="AA193" s="9" t="str">
        <f>IF(A193="","",SUMIFS('Exit Log'!$K$5:$K$304,'Exit Log'!$A$5:$A$304,A193))</f>
        <v/>
      </c>
      <c r="AB193" s="9" t="str">
        <f>IF(A193="","",SUMIFS('Exit Log'!$P$5:$P$304,'Exit Log'!$A$5:$A$304,A193))</f>
        <v/>
      </c>
      <c r="AC193" s="12" t="e">
        <f t="shared" si="36"/>
        <v>#VALUE!</v>
      </c>
      <c r="AD193" s="4" t="str">
        <f t="shared" si="37"/>
        <v/>
      </c>
      <c r="AE193" s="13">
        <f>IF(W193=0,"",LOOKUP(2,1/('Exit Log'!$A$5:$A$304=A193),'Exit Log'!$C$5:$C$304))</f>
        <v>0</v>
      </c>
      <c r="AF193" s="14">
        <f>IF(W193=0,"",LOOKUP(2,1/('Exit Log'!$A$5:$A$304=A193),'Exit Log'!$E$5:$E$304))</f>
        <v>0</v>
      </c>
      <c r="AG193" s="2"/>
      <c r="AH193" s="2"/>
      <c r="AI193" s="10"/>
      <c r="AJ193" s="2"/>
    </row>
    <row r="194" spans="1:36">
      <c r="A194" s="2"/>
      <c r="B194" s="3"/>
      <c r="C194" s="4" t="str">
        <f t="shared" si="32"/>
        <v/>
      </c>
      <c r="D194" s="5"/>
      <c r="E194" s="2"/>
      <c r="F194" s="2"/>
      <c r="G194" s="2"/>
      <c r="H194" s="2"/>
      <c r="I194" s="2"/>
      <c r="J194" s="2"/>
      <c r="K194" s="3"/>
      <c r="L194" s="4" t="str">
        <f t="shared" si="33"/>
        <v/>
      </c>
      <c r="M194" s="6"/>
      <c r="N194" s="2"/>
      <c r="O194" s="7"/>
      <c r="P194" s="8"/>
      <c r="Q194" s="8"/>
      <c r="R194" s="8"/>
      <c r="S194" s="9" t="str">
        <f t="shared" si="34"/>
        <v/>
      </c>
      <c r="T194" s="2"/>
      <c r="U194" s="10"/>
      <c r="V194" s="10"/>
      <c r="W194" s="11" t="str">
        <f>IF(A194="","",SUMIFS('Exit Log'!$I$5:$I$304,'Exit Log'!$A$5:$A$304,A194))</f>
        <v/>
      </c>
      <c r="X194" s="11" t="str">
        <f t="shared" si="35"/>
        <v/>
      </c>
      <c r="Y194" s="9" t="e">
        <f>IF(W194=0,"",SUMIFS('Exit Log'!$N$5:$N$304,'Exit Log'!$A$5:$A$304,A194)/(W194*100))</f>
        <v>#VALUE!</v>
      </c>
      <c r="Z194" s="9" t="str">
        <f>IF(A194="","",SUMIFS('Exit Log'!$N$5:$N$304,'Exit Log'!$A$5:$A$304,A194))</f>
        <v/>
      </c>
      <c r="AA194" s="9" t="str">
        <f>IF(A194="","",SUMIFS('Exit Log'!$K$5:$K$304,'Exit Log'!$A$5:$A$304,A194))</f>
        <v/>
      </c>
      <c r="AB194" s="9" t="str">
        <f>IF(A194="","",SUMIFS('Exit Log'!$P$5:$P$304,'Exit Log'!$A$5:$A$304,A194))</f>
        <v/>
      </c>
      <c r="AC194" s="12" t="e">
        <f t="shared" si="36"/>
        <v>#VALUE!</v>
      </c>
      <c r="AD194" s="4" t="str">
        <f t="shared" si="37"/>
        <v/>
      </c>
      <c r="AE194" s="13">
        <f>IF(W194=0,"",LOOKUP(2,1/('Exit Log'!$A$5:$A$304=A194),'Exit Log'!$C$5:$C$304))</f>
        <v>0</v>
      </c>
      <c r="AF194" s="14">
        <f>IF(W194=0,"",LOOKUP(2,1/('Exit Log'!$A$5:$A$304=A194),'Exit Log'!$E$5:$E$304))</f>
        <v>0</v>
      </c>
      <c r="AG194" s="2"/>
      <c r="AH194" s="2"/>
      <c r="AI194" s="10"/>
      <c r="AJ194" s="2"/>
    </row>
    <row r="195" spans="1:36">
      <c r="A195" s="2"/>
      <c r="B195" s="3"/>
      <c r="C195" s="4" t="str">
        <f t="shared" si="32"/>
        <v/>
      </c>
      <c r="D195" s="5"/>
      <c r="E195" s="2"/>
      <c r="F195" s="2"/>
      <c r="G195" s="2"/>
      <c r="H195" s="2"/>
      <c r="I195" s="2"/>
      <c r="J195" s="2"/>
      <c r="K195" s="3"/>
      <c r="L195" s="4" t="str">
        <f t="shared" si="33"/>
        <v/>
      </c>
      <c r="M195" s="6"/>
      <c r="N195" s="2"/>
      <c r="O195" s="7"/>
      <c r="P195" s="8"/>
      <c r="Q195" s="8"/>
      <c r="R195" s="8"/>
      <c r="S195" s="9" t="str">
        <f t="shared" si="34"/>
        <v/>
      </c>
      <c r="T195" s="2"/>
      <c r="U195" s="10"/>
      <c r="V195" s="10"/>
      <c r="W195" s="11" t="str">
        <f>IF(A195="","",SUMIFS('Exit Log'!$I$5:$I$304,'Exit Log'!$A$5:$A$304,A195))</f>
        <v/>
      </c>
      <c r="X195" s="11" t="str">
        <f t="shared" si="35"/>
        <v/>
      </c>
      <c r="Y195" s="9" t="e">
        <f>IF(W195=0,"",SUMIFS('Exit Log'!$N$5:$N$304,'Exit Log'!$A$5:$A$304,A195)/(W195*100))</f>
        <v>#VALUE!</v>
      </c>
      <c r="Z195" s="9" t="str">
        <f>IF(A195="","",SUMIFS('Exit Log'!$N$5:$N$304,'Exit Log'!$A$5:$A$304,A195))</f>
        <v/>
      </c>
      <c r="AA195" s="9" t="str">
        <f>IF(A195="","",SUMIFS('Exit Log'!$K$5:$K$304,'Exit Log'!$A$5:$A$304,A195))</f>
        <v/>
      </c>
      <c r="AB195" s="9" t="str">
        <f>IF(A195="","",SUMIFS('Exit Log'!$P$5:$P$304,'Exit Log'!$A$5:$A$304,A195))</f>
        <v/>
      </c>
      <c r="AC195" s="12" t="e">
        <f t="shared" si="36"/>
        <v>#VALUE!</v>
      </c>
      <c r="AD195" s="4" t="str">
        <f t="shared" si="37"/>
        <v/>
      </c>
      <c r="AE195" s="13">
        <f>IF(W195=0,"",LOOKUP(2,1/('Exit Log'!$A$5:$A$304=A195),'Exit Log'!$C$5:$C$304))</f>
        <v>0</v>
      </c>
      <c r="AF195" s="14">
        <f>IF(W195=0,"",LOOKUP(2,1/('Exit Log'!$A$5:$A$304=A195),'Exit Log'!$E$5:$E$304))</f>
        <v>0</v>
      </c>
      <c r="AG195" s="2"/>
      <c r="AH195" s="2"/>
      <c r="AI195" s="10"/>
      <c r="AJ195" s="2"/>
    </row>
    <row r="196" spans="1:36">
      <c r="A196" s="2"/>
      <c r="B196" s="3"/>
      <c r="C196" s="4" t="str">
        <f t="shared" si="32"/>
        <v/>
      </c>
      <c r="D196" s="5"/>
      <c r="E196" s="2"/>
      <c r="F196" s="2"/>
      <c r="G196" s="2"/>
      <c r="H196" s="2"/>
      <c r="I196" s="2"/>
      <c r="J196" s="2"/>
      <c r="K196" s="3"/>
      <c r="L196" s="4" t="str">
        <f t="shared" si="33"/>
        <v/>
      </c>
      <c r="M196" s="6"/>
      <c r="N196" s="2"/>
      <c r="O196" s="7"/>
      <c r="P196" s="8"/>
      <c r="Q196" s="8"/>
      <c r="R196" s="8"/>
      <c r="S196" s="9" t="str">
        <f t="shared" si="34"/>
        <v/>
      </c>
      <c r="T196" s="2"/>
      <c r="U196" s="10"/>
      <c r="V196" s="10"/>
      <c r="W196" s="11" t="str">
        <f>IF(A196="","",SUMIFS('Exit Log'!$I$5:$I$304,'Exit Log'!$A$5:$A$304,A196))</f>
        <v/>
      </c>
      <c r="X196" s="11" t="str">
        <f t="shared" si="35"/>
        <v/>
      </c>
      <c r="Y196" s="9" t="e">
        <f>IF(W196=0,"",SUMIFS('Exit Log'!$N$5:$N$304,'Exit Log'!$A$5:$A$304,A196)/(W196*100))</f>
        <v>#VALUE!</v>
      </c>
      <c r="Z196" s="9" t="str">
        <f>IF(A196="","",SUMIFS('Exit Log'!$N$5:$N$304,'Exit Log'!$A$5:$A$304,A196))</f>
        <v/>
      </c>
      <c r="AA196" s="9" t="str">
        <f>IF(A196="","",SUMIFS('Exit Log'!$K$5:$K$304,'Exit Log'!$A$5:$A$304,A196))</f>
        <v/>
      </c>
      <c r="AB196" s="9" t="str">
        <f>IF(A196="","",SUMIFS('Exit Log'!$P$5:$P$304,'Exit Log'!$A$5:$A$304,A196))</f>
        <v/>
      </c>
      <c r="AC196" s="12" t="e">
        <f t="shared" si="36"/>
        <v>#VALUE!</v>
      </c>
      <c r="AD196" s="4" t="str">
        <f t="shared" si="37"/>
        <v/>
      </c>
      <c r="AE196" s="13">
        <f>IF(W196=0,"",LOOKUP(2,1/('Exit Log'!$A$5:$A$304=A196),'Exit Log'!$C$5:$C$304))</f>
        <v>0</v>
      </c>
      <c r="AF196" s="14">
        <f>IF(W196=0,"",LOOKUP(2,1/('Exit Log'!$A$5:$A$304=A196),'Exit Log'!$E$5:$E$304))</f>
        <v>0</v>
      </c>
      <c r="AG196" s="2"/>
      <c r="AH196" s="2"/>
      <c r="AI196" s="10"/>
      <c r="AJ196" s="2"/>
    </row>
    <row r="197" spans="1:36">
      <c r="A197" s="2"/>
      <c r="B197" s="3"/>
      <c r="C197" s="4" t="str">
        <f t="shared" ref="C197:C228" si="38">IF(B197="","",TEXT(B197,"dddd"))</f>
        <v/>
      </c>
      <c r="D197" s="5"/>
      <c r="E197" s="2"/>
      <c r="F197" s="2"/>
      <c r="G197" s="2"/>
      <c r="H197" s="2"/>
      <c r="I197" s="2"/>
      <c r="J197" s="2"/>
      <c r="K197" s="3"/>
      <c r="L197" s="4" t="str">
        <f t="shared" ref="L197:L228" si="39">IF(OR(B197="",K197=""),"",K197-B197)</f>
        <v/>
      </c>
      <c r="M197" s="6"/>
      <c r="N197" s="2"/>
      <c r="O197" s="7"/>
      <c r="P197" s="8"/>
      <c r="Q197" s="8"/>
      <c r="R197" s="8"/>
      <c r="S197" s="9" t="str">
        <f t="shared" ref="S197:S204" si="40">IF(OR(O197="",P197=""),"",O197*P197*100+IF(Q197="",0,Q197))</f>
        <v/>
      </c>
      <c r="T197" s="2"/>
      <c r="U197" s="10"/>
      <c r="V197" s="10"/>
      <c r="W197" s="11" t="str">
        <f>IF(A197="","",SUMIFS('Exit Log'!$I$5:$I$304,'Exit Log'!$A$5:$A$304,A197))</f>
        <v/>
      </c>
      <c r="X197" s="11" t="str">
        <f t="shared" ref="X197:X228" si="41">IF(A197="","",O197-W197)</f>
        <v/>
      </c>
      <c r="Y197" s="9" t="e">
        <f>IF(W197=0,"",SUMIFS('Exit Log'!$N$5:$N$304,'Exit Log'!$A$5:$A$304,A197)/(W197*100))</f>
        <v>#VALUE!</v>
      </c>
      <c r="Z197" s="9" t="str">
        <f>IF(A197="","",SUMIFS('Exit Log'!$N$5:$N$304,'Exit Log'!$A$5:$A$304,A197))</f>
        <v/>
      </c>
      <c r="AA197" s="9" t="str">
        <f>IF(A197="","",SUMIFS('Exit Log'!$K$5:$K$304,'Exit Log'!$A$5:$A$304,A197))</f>
        <v/>
      </c>
      <c r="AB197" s="9" t="str">
        <f>IF(A197="","",SUMIFS('Exit Log'!$P$5:$P$304,'Exit Log'!$A$5:$A$304,A197))</f>
        <v/>
      </c>
      <c r="AC197" s="12" t="e">
        <f t="shared" ref="AC197:AC228" si="42">IF(W197=0,"",AB197/(W197*P197*100+IFERROR(Q197*W197/O197,0)))</f>
        <v>#VALUE!</v>
      </c>
      <c r="AD197" s="4" t="str">
        <f t="shared" ref="AD197:AD204" si="43">IF(A197="","",IF(W197=0,"Open",IF(X197=0,"Closed","Partially Trimmed")))</f>
        <v/>
      </c>
      <c r="AE197" s="13">
        <f>IF(W197=0,"",LOOKUP(2,1/('Exit Log'!$A$5:$A$304=A197),'Exit Log'!$C$5:$C$304))</f>
        <v>0</v>
      </c>
      <c r="AF197" s="14">
        <f>IF(W197=0,"",LOOKUP(2,1/('Exit Log'!$A$5:$A$304=A197),'Exit Log'!$E$5:$E$304))</f>
        <v>0</v>
      </c>
      <c r="AG197" s="2"/>
      <c r="AH197" s="2"/>
      <c r="AI197" s="10"/>
      <c r="AJ197" s="2"/>
    </row>
    <row r="198" spans="1:36">
      <c r="A198" s="2"/>
      <c r="B198" s="3"/>
      <c r="C198" s="4" t="str">
        <f t="shared" si="38"/>
        <v/>
      </c>
      <c r="D198" s="5"/>
      <c r="E198" s="2"/>
      <c r="F198" s="2"/>
      <c r="G198" s="2"/>
      <c r="H198" s="2"/>
      <c r="I198" s="2"/>
      <c r="J198" s="2"/>
      <c r="K198" s="3"/>
      <c r="L198" s="4" t="str">
        <f t="shared" si="39"/>
        <v/>
      </c>
      <c r="M198" s="6"/>
      <c r="N198" s="2"/>
      <c r="O198" s="7"/>
      <c r="P198" s="8"/>
      <c r="Q198" s="8"/>
      <c r="R198" s="8"/>
      <c r="S198" s="9" t="str">
        <f t="shared" si="40"/>
        <v/>
      </c>
      <c r="T198" s="2"/>
      <c r="U198" s="10"/>
      <c r="V198" s="10"/>
      <c r="W198" s="11" t="str">
        <f>IF(A198="","",SUMIFS('Exit Log'!$I$5:$I$304,'Exit Log'!$A$5:$A$304,A198))</f>
        <v/>
      </c>
      <c r="X198" s="11" t="str">
        <f t="shared" si="41"/>
        <v/>
      </c>
      <c r="Y198" s="9" t="e">
        <f>IF(W198=0,"",SUMIFS('Exit Log'!$N$5:$N$304,'Exit Log'!$A$5:$A$304,A198)/(W198*100))</f>
        <v>#VALUE!</v>
      </c>
      <c r="Z198" s="9" t="str">
        <f>IF(A198="","",SUMIFS('Exit Log'!$N$5:$N$304,'Exit Log'!$A$5:$A$304,A198))</f>
        <v/>
      </c>
      <c r="AA198" s="9" t="str">
        <f>IF(A198="","",SUMIFS('Exit Log'!$K$5:$K$304,'Exit Log'!$A$5:$A$304,A198))</f>
        <v/>
      </c>
      <c r="AB198" s="9" t="str">
        <f>IF(A198="","",SUMIFS('Exit Log'!$P$5:$P$304,'Exit Log'!$A$5:$A$304,A198))</f>
        <v/>
      </c>
      <c r="AC198" s="12" t="e">
        <f t="shared" si="42"/>
        <v>#VALUE!</v>
      </c>
      <c r="AD198" s="4" t="str">
        <f t="shared" si="43"/>
        <v/>
      </c>
      <c r="AE198" s="13">
        <f>IF(W198=0,"",LOOKUP(2,1/('Exit Log'!$A$5:$A$304=A198),'Exit Log'!$C$5:$C$304))</f>
        <v>0</v>
      </c>
      <c r="AF198" s="14">
        <f>IF(W198=0,"",LOOKUP(2,1/('Exit Log'!$A$5:$A$304=A198),'Exit Log'!$E$5:$E$304))</f>
        <v>0</v>
      </c>
      <c r="AG198" s="2"/>
      <c r="AH198" s="2"/>
      <c r="AI198" s="10"/>
      <c r="AJ198" s="2"/>
    </row>
    <row r="199" spans="1:36">
      <c r="A199" s="2"/>
      <c r="B199" s="3"/>
      <c r="C199" s="4" t="str">
        <f t="shared" si="38"/>
        <v/>
      </c>
      <c r="D199" s="5"/>
      <c r="E199" s="2"/>
      <c r="F199" s="2"/>
      <c r="G199" s="2"/>
      <c r="H199" s="2"/>
      <c r="I199" s="2"/>
      <c r="J199" s="2"/>
      <c r="K199" s="3"/>
      <c r="L199" s="4" t="str">
        <f t="shared" si="39"/>
        <v/>
      </c>
      <c r="M199" s="6"/>
      <c r="N199" s="2"/>
      <c r="O199" s="7"/>
      <c r="P199" s="8"/>
      <c r="Q199" s="8"/>
      <c r="R199" s="8"/>
      <c r="S199" s="9" t="str">
        <f t="shared" si="40"/>
        <v/>
      </c>
      <c r="T199" s="2"/>
      <c r="U199" s="10"/>
      <c r="V199" s="10"/>
      <c r="W199" s="11" t="str">
        <f>IF(A199="","",SUMIFS('Exit Log'!$I$5:$I$304,'Exit Log'!$A$5:$A$304,A199))</f>
        <v/>
      </c>
      <c r="X199" s="11" t="str">
        <f t="shared" si="41"/>
        <v/>
      </c>
      <c r="Y199" s="9" t="e">
        <f>IF(W199=0,"",SUMIFS('Exit Log'!$N$5:$N$304,'Exit Log'!$A$5:$A$304,A199)/(W199*100))</f>
        <v>#VALUE!</v>
      </c>
      <c r="Z199" s="9" t="str">
        <f>IF(A199="","",SUMIFS('Exit Log'!$N$5:$N$304,'Exit Log'!$A$5:$A$304,A199))</f>
        <v/>
      </c>
      <c r="AA199" s="9" t="str">
        <f>IF(A199="","",SUMIFS('Exit Log'!$K$5:$K$304,'Exit Log'!$A$5:$A$304,A199))</f>
        <v/>
      </c>
      <c r="AB199" s="9" t="str">
        <f>IF(A199="","",SUMIFS('Exit Log'!$P$5:$P$304,'Exit Log'!$A$5:$A$304,A199))</f>
        <v/>
      </c>
      <c r="AC199" s="12" t="e">
        <f t="shared" si="42"/>
        <v>#VALUE!</v>
      </c>
      <c r="AD199" s="4" t="str">
        <f t="shared" si="43"/>
        <v/>
      </c>
      <c r="AE199" s="13">
        <f>IF(W199=0,"",LOOKUP(2,1/('Exit Log'!$A$5:$A$304=A199),'Exit Log'!$C$5:$C$304))</f>
        <v>0</v>
      </c>
      <c r="AF199" s="14">
        <f>IF(W199=0,"",LOOKUP(2,1/('Exit Log'!$A$5:$A$304=A199),'Exit Log'!$E$5:$E$304))</f>
        <v>0</v>
      </c>
      <c r="AG199" s="2"/>
      <c r="AH199" s="2"/>
      <c r="AI199" s="10"/>
      <c r="AJ199" s="2"/>
    </row>
    <row r="200" spans="1:36">
      <c r="A200" s="2"/>
      <c r="B200" s="3"/>
      <c r="C200" s="4" t="str">
        <f t="shared" si="38"/>
        <v/>
      </c>
      <c r="D200" s="5"/>
      <c r="E200" s="2"/>
      <c r="F200" s="2"/>
      <c r="G200" s="2"/>
      <c r="H200" s="2"/>
      <c r="I200" s="2"/>
      <c r="J200" s="2"/>
      <c r="K200" s="3"/>
      <c r="L200" s="4" t="str">
        <f t="shared" si="39"/>
        <v/>
      </c>
      <c r="M200" s="6"/>
      <c r="N200" s="2"/>
      <c r="O200" s="7"/>
      <c r="P200" s="8"/>
      <c r="Q200" s="8"/>
      <c r="R200" s="8"/>
      <c r="S200" s="9" t="str">
        <f t="shared" si="40"/>
        <v/>
      </c>
      <c r="T200" s="2"/>
      <c r="U200" s="10"/>
      <c r="V200" s="10"/>
      <c r="W200" s="11" t="str">
        <f>IF(A200="","",SUMIFS('Exit Log'!$I$5:$I$304,'Exit Log'!$A$5:$A$304,A200))</f>
        <v/>
      </c>
      <c r="X200" s="11" t="str">
        <f t="shared" si="41"/>
        <v/>
      </c>
      <c r="Y200" s="9" t="e">
        <f>IF(W200=0,"",SUMIFS('Exit Log'!$N$5:$N$304,'Exit Log'!$A$5:$A$304,A200)/(W200*100))</f>
        <v>#VALUE!</v>
      </c>
      <c r="Z200" s="9" t="str">
        <f>IF(A200="","",SUMIFS('Exit Log'!$N$5:$N$304,'Exit Log'!$A$5:$A$304,A200))</f>
        <v/>
      </c>
      <c r="AA200" s="9" t="str">
        <f>IF(A200="","",SUMIFS('Exit Log'!$K$5:$K$304,'Exit Log'!$A$5:$A$304,A200))</f>
        <v/>
      </c>
      <c r="AB200" s="9" t="str">
        <f>IF(A200="","",SUMIFS('Exit Log'!$P$5:$P$304,'Exit Log'!$A$5:$A$304,A200))</f>
        <v/>
      </c>
      <c r="AC200" s="12" t="e">
        <f t="shared" si="42"/>
        <v>#VALUE!</v>
      </c>
      <c r="AD200" s="4" t="str">
        <f t="shared" si="43"/>
        <v/>
      </c>
      <c r="AE200" s="13">
        <f>IF(W200=0,"",LOOKUP(2,1/('Exit Log'!$A$5:$A$304=A200),'Exit Log'!$C$5:$C$304))</f>
        <v>0</v>
      </c>
      <c r="AF200" s="14">
        <f>IF(W200=0,"",LOOKUP(2,1/('Exit Log'!$A$5:$A$304=A200),'Exit Log'!$E$5:$E$304))</f>
        <v>0</v>
      </c>
      <c r="AG200" s="2"/>
      <c r="AH200" s="2"/>
      <c r="AI200" s="10"/>
      <c r="AJ200" s="2"/>
    </row>
    <row r="201" spans="1:36">
      <c r="A201" s="2"/>
      <c r="B201" s="3"/>
      <c r="C201" s="4" t="str">
        <f t="shared" si="38"/>
        <v/>
      </c>
      <c r="D201" s="5"/>
      <c r="E201" s="2"/>
      <c r="F201" s="2"/>
      <c r="G201" s="2"/>
      <c r="H201" s="2"/>
      <c r="I201" s="2"/>
      <c r="J201" s="2"/>
      <c r="K201" s="3"/>
      <c r="L201" s="4" t="str">
        <f t="shared" si="39"/>
        <v/>
      </c>
      <c r="M201" s="6"/>
      <c r="N201" s="2"/>
      <c r="O201" s="7"/>
      <c r="P201" s="8"/>
      <c r="Q201" s="8"/>
      <c r="R201" s="8"/>
      <c r="S201" s="9" t="str">
        <f t="shared" si="40"/>
        <v/>
      </c>
      <c r="T201" s="2"/>
      <c r="U201" s="10"/>
      <c r="V201" s="10"/>
      <c r="W201" s="11" t="str">
        <f>IF(A201="","",SUMIFS('Exit Log'!$I$5:$I$304,'Exit Log'!$A$5:$A$304,A201))</f>
        <v/>
      </c>
      <c r="X201" s="11" t="str">
        <f t="shared" si="41"/>
        <v/>
      </c>
      <c r="Y201" s="9" t="e">
        <f>IF(W201=0,"",SUMIFS('Exit Log'!$N$5:$N$304,'Exit Log'!$A$5:$A$304,A201)/(W201*100))</f>
        <v>#VALUE!</v>
      </c>
      <c r="Z201" s="9" t="str">
        <f>IF(A201="","",SUMIFS('Exit Log'!$N$5:$N$304,'Exit Log'!$A$5:$A$304,A201))</f>
        <v/>
      </c>
      <c r="AA201" s="9" t="str">
        <f>IF(A201="","",SUMIFS('Exit Log'!$K$5:$K$304,'Exit Log'!$A$5:$A$304,A201))</f>
        <v/>
      </c>
      <c r="AB201" s="9" t="str">
        <f>IF(A201="","",SUMIFS('Exit Log'!$P$5:$P$304,'Exit Log'!$A$5:$A$304,A201))</f>
        <v/>
      </c>
      <c r="AC201" s="12" t="e">
        <f t="shared" si="42"/>
        <v>#VALUE!</v>
      </c>
      <c r="AD201" s="4" t="str">
        <f t="shared" si="43"/>
        <v/>
      </c>
      <c r="AE201" s="13">
        <f>IF(W201=0,"",LOOKUP(2,1/('Exit Log'!$A$5:$A$304=A201),'Exit Log'!$C$5:$C$304))</f>
        <v>0</v>
      </c>
      <c r="AF201" s="14">
        <f>IF(W201=0,"",LOOKUP(2,1/('Exit Log'!$A$5:$A$304=A201),'Exit Log'!$E$5:$E$304))</f>
        <v>0</v>
      </c>
      <c r="AG201" s="2"/>
      <c r="AH201" s="2"/>
      <c r="AI201" s="10"/>
      <c r="AJ201" s="2"/>
    </row>
    <row r="202" spans="1:36">
      <c r="A202" s="2"/>
      <c r="B202" s="3"/>
      <c r="C202" s="4" t="str">
        <f t="shared" si="38"/>
        <v/>
      </c>
      <c r="D202" s="5"/>
      <c r="E202" s="2"/>
      <c r="F202" s="2"/>
      <c r="G202" s="2"/>
      <c r="H202" s="2"/>
      <c r="I202" s="2"/>
      <c r="J202" s="2"/>
      <c r="K202" s="3"/>
      <c r="L202" s="4" t="str">
        <f t="shared" si="39"/>
        <v/>
      </c>
      <c r="M202" s="6"/>
      <c r="N202" s="2"/>
      <c r="O202" s="7"/>
      <c r="P202" s="8"/>
      <c r="Q202" s="8"/>
      <c r="R202" s="8"/>
      <c r="S202" s="9" t="str">
        <f t="shared" si="40"/>
        <v/>
      </c>
      <c r="T202" s="2"/>
      <c r="U202" s="10"/>
      <c r="V202" s="10"/>
      <c r="W202" s="11" t="str">
        <f>IF(A202="","",SUMIFS('Exit Log'!$I$5:$I$304,'Exit Log'!$A$5:$A$304,A202))</f>
        <v/>
      </c>
      <c r="X202" s="11" t="str">
        <f t="shared" si="41"/>
        <v/>
      </c>
      <c r="Y202" s="9" t="e">
        <f>IF(W202=0,"",SUMIFS('Exit Log'!$N$5:$N$304,'Exit Log'!$A$5:$A$304,A202)/(W202*100))</f>
        <v>#VALUE!</v>
      </c>
      <c r="Z202" s="9" t="str">
        <f>IF(A202="","",SUMIFS('Exit Log'!$N$5:$N$304,'Exit Log'!$A$5:$A$304,A202))</f>
        <v/>
      </c>
      <c r="AA202" s="9" t="str">
        <f>IF(A202="","",SUMIFS('Exit Log'!$K$5:$K$304,'Exit Log'!$A$5:$A$304,A202))</f>
        <v/>
      </c>
      <c r="AB202" s="9" t="str">
        <f>IF(A202="","",SUMIFS('Exit Log'!$P$5:$P$304,'Exit Log'!$A$5:$A$304,A202))</f>
        <v/>
      </c>
      <c r="AC202" s="12" t="e">
        <f t="shared" si="42"/>
        <v>#VALUE!</v>
      </c>
      <c r="AD202" s="4" t="str">
        <f t="shared" si="43"/>
        <v/>
      </c>
      <c r="AE202" s="13">
        <f>IF(W202=0,"",LOOKUP(2,1/('Exit Log'!$A$5:$A$304=A202),'Exit Log'!$C$5:$C$304))</f>
        <v>0</v>
      </c>
      <c r="AF202" s="14">
        <f>IF(W202=0,"",LOOKUP(2,1/('Exit Log'!$A$5:$A$304=A202),'Exit Log'!$E$5:$E$304))</f>
        <v>0</v>
      </c>
      <c r="AG202" s="2"/>
      <c r="AH202" s="2"/>
      <c r="AI202" s="10"/>
      <c r="AJ202" s="2"/>
    </row>
    <row r="203" spans="1:36">
      <c r="A203" s="2"/>
      <c r="B203" s="3"/>
      <c r="C203" s="4" t="str">
        <f t="shared" si="38"/>
        <v/>
      </c>
      <c r="D203" s="5"/>
      <c r="E203" s="2"/>
      <c r="F203" s="2"/>
      <c r="G203" s="2"/>
      <c r="H203" s="2"/>
      <c r="I203" s="2"/>
      <c r="J203" s="2"/>
      <c r="K203" s="3"/>
      <c r="L203" s="4" t="str">
        <f t="shared" si="39"/>
        <v/>
      </c>
      <c r="M203" s="6"/>
      <c r="N203" s="2"/>
      <c r="O203" s="7"/>
      <c r="P203" s="8"/>
      <c r="Q203" s="8"/>
      <c r="R203" s="8"/>
      <c r="S203" s="9" t="str">
        <f t="shared" si="40"/>
        <v/>
      </c>
      <c r="T203" s="2"/>
      <c r="U203" s="10"/>
      <c r="V203" s="10"/>
      <c r="W203" s="11" t="str">
        <f>IF(A203="","",SUMIFS('Exit Log'!$I$5:$I$304,'Exit Log'!$A$5:$A$304,A203))</f>
        <v/>
      </c>
      <c r="X203" s="11" t="str">
        <f t="shared" si="41"/>
        <v/>
      </c>
      <c r="Y203" s="9" t="e">
        <f>IF(W203=0,"",SUMIFS('Exit Log'!$N$5:$N$304,'Exit Log'!$A$5:$A$304,A203)/(W203*100))</f>
        <v>#VALUE!</v>
      </c>
      <c r="Z203" s="9" t="str">
        <f>IF(A203="","",SUMIFS('Exit Log'!$N$5:$N$304,'Exit Log'!$A$5:$A$304,A203))</f>
        <v/>
      </c>
      <c r="AA203" s="9" t="str">
        <f>IF(A203="","",SUMIFS('Exit Log'!$K$5:$K$304,'Exit Log'!$A$5:$A$304,A203))</f>
        <v/>
      </c>
      <c r="AB203" s="9" t="str">
        <f>IF(A203="","",SUMIFS('Exit Log'!$P$5:$P$304,'Exit Log'!$A$5:$A$304,A203))</f>
        <v/>
      </c>
      <c r="AC203" s="12" t="e">
        <f t="shared" si="42"/>
        <v>#VALUE!</v>
      </c>
      <c r="AD203" s="4" t="str">
        <f t="shared" si="43"/>
        <v/>
      </c>
      <c r="AE203" s="13">
        <f>IF(W203=0,"",LOOKUP(2,1/('Exit Log'!$A$5:$A$304=A203),'Exit Log'!$C$5:$C$304))</f>
        <v>0</v>
      </c>
      <c r="AF203" s="14">
        <f>IF(W203=0,"",LOOKUP(2,1/('Exit Log'!$A$5:$A$304=A203),'Exit Log'!$E$5:$E$304))</f>
        <v>0</v>
      </c>
      <c r="AG203" s="2"/>
      <c r="AH203" s="2"/>
      <c r="AI203" s="10"/>
      <c r="AJ203" s="2"/>
    </row>
    <row r="204" spans="1:36">
      <c r="A204" s="2"/>
      <c r="B204" s="3"/>
      <c r="C204" s="4" t="str">
        <f t="shared" si="38"/>
        <v/>
      </c>
      <c r="D204" s="5"/>
      <c r="E204" s="2"/>
      <c r="F204" s="2"/>
      <c r="G204" s="2"/>
      <c r="H204" s="2"/>
      <c r="I204" s="2"/>
      <c r="J204" s="2"/>
      <c r="K204" s="3"/>
      <c r="L204" s="4" t="str">
        <f t="shared" si="39"/>
        <v/>
      </c>
      <c r="M204" s="6"/>
      <c r="N204" s="2"/>
      <c r="O204" s="7"/>
      <c r="P204" s="8"/>
      <c r="Q204" s="8"/>
      <c r="R204" s="8"/>
      <c r="S204" s="9" t="str">
        <f t="shared" si="40"/>
        <v/>
      </c>
      <c r="T204" s="2"/>
      <c r="U204" s="10"/>
      <c r="V204" s="10"/>
      <c r="W204" s="11" t="str">
        <f>IF(A204="","",SUMIFS('Exit Log'!$I$5:$I$304,'Exit Log'!$A$5:$A$304,A204))</f>
        <v/>
      </c>
      <c r="X204" s="11" t="str">
        <f t="shared" si="41"/>
        <v/>
      </c>
      <c r="Y204" s="9" t="e">
        <f>IF(W204=0,"",SUMIFS('Exit Log'!$N$5:$N$304,'Exit Log'!$A$5:$A$304,A204)/(W204*100))</f>
        <v>#VALUE!</v>
      </c>
      <c r="Z204" s="9" t="str">
        <f>IF(A204="","",SUMIFS('Exit Log'!$N$5:$N$304,'Exit Log'!$A$5:$A$304,A204))</f>
        <v/>
      </c>
      <c r="AA204" s="9" t="str">
        <f>IF(A204="","",SUMIFS('Exit Log'!$K$5:$K$304,'Exit Log'!$A$5:$A$304,A204))</f>
        <v/>
      </c>
      <c r="AB204" s="9" t="str">
        <f>IF(A204="","",SUMIFS('Exit Log'!$P$5:$P$304,'Exit Log'!$A$5:$A$304,A204))</f>
        <v/>
      </c>
      <c r="AC204" s="12" t="e">
        <f t="shared" si="42"/>
        <v>#VALUE!</v>
      </c>
      <c r="AD204" s="4" t="str">
        <f t="shared" si="43"/>
        <v/>
      </c>
      <c r="AE204" s="13">
        <f>IF(W204=0,"",LOOKUP(2,1/('Exit Log'!$A$5:$A$304=A204),'Exit Log'!$C$5:$C$304))</f>
        <v>0</v>
      </c>
      <c r="AF204" s="14">
        <f>IF(W204=0,"",LOOKUP(2,1/('Exit Log'!$A$5:$A$304=A204),'Exit Log'!$E$5:$E$304))</f>
        <v>0</v>
      </c>
      <c r="AG204" s="2"/>
      <c r="AH204" s="2"/>
      <c r="AI204" s="10"/>
      <c r="AJ204" s="2"/>
    </row>
  </sheetData>
  <mergeCells count="2">
    <mergeCell ref="A1:AJ1"/>
    <mergeCell ref="A2:AJ2"/>
  </mergeCells>
  <conditionalFormatting sqref="AB5:AB204">
    <cfRule type="cellIs" dxfId="19" priority="5" operator="greaterThan">
      <formula>0</formula>
    </cfRule>
    <cfRule type="cellIs" dxfId="18" priority="6" operator="lessThan">
      <formula>0</formula>
    </cfRule>
  </conditionalFormatting>
  <conditionalFormatting sqref="AC5:AC204">
    <cfRule type="cellIs" dxfId="17" priority="7" operator="greaterThan">
      <formula>0</formula>
    </cfRule>
    <cfRule type="cellIs" dxfId="16" priority="8" operator="lessThan">
      <formula>0</formula>
    </cfRule>
  </conditionalFormatting>
  <dataValidations count="7">
    <dataValidation type="list" sqref="E5:E204" xr:uid="{00000000-0002-0000-0000-000000000000}">
      <formula1>"Opening 30 Min,Morning,Midday,Power Hour,After-hours"</formula1>
    </dataValidation>
    <dataValidation type="list" sqref="G5:G204" xr:uid="{00000000-0002-0000-0000-000001000000}">
      <formula1>"Bullish,Bearish,Neutral"</formula1>
    </dataValidation>
    <dataValidation type="list" sqref="I5:I204" xr:uid="{00000000-0002-0000-0000-000003000000}">
      <formula1>"Call,Put"</formula1>
    </dataValidation>
    <dataValidation type="list" sqref="J5:J204" xr:uid="{00000000-0002-0000-0000-000004000000}">
      <formula1>"Buy to Open"</formula1>
    </dataValidation>
    <dataValidation type="list" sqref="N5:N204" xr:uid="{00000000-0002-0000-0000-000005000000}">
      <formula1>"ITM,ATM,OTM"</formula1>
    </dataValidation>
    <dataValidation type="list" sqref="AD5:AD204" xr:uid="{00000000-0002-0000-0000-000006000000}">
      <formula1>"Open,Partially Trimmed,Closed"</formula1>
    </dataValidation>
    <dataValidation type="list" sqref="AG5:AG204" xr:uid="{00000000-0002-0000-0000-000007000000}">
      <formula1>"Yes,No,Mostly"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2000000}">
          <x14:formula1>
            <xm:f>'Setup Tags'!$A$5:$A$13</xm:f>
          </x14:formula1>
          <xm:sqref>H6:H204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04"/>
  <sheetViews>
    <sheetView workbookViewId="0">
      <selection activeCell="R11" sqref="R11"/>
    </sheetView>
  </sheetViews>
  <sheetFormatPr defaultRowHeight="14.25"/>
  <cols>
    <col min="1" max="1" width="14" customWidth="1"/>
    <col min="2" max="2" width="8" customWidth="1"/>
    <col min="3" max="5" width="12" customWidth="1"/>
    <col min="6" max="6" width="16" customWidth="1"/>
    <col min="7" max="8" width="10" customWidth="1"/>
    <col min="9" max="9" width="14" customWidth="1"/>
    <col min="10" max="10" width="13" customWidth="1"/>
    <col min="11" max="11" width="11" customWidth="1"/>
    <col min="12" max="12" width="18" customWidth="1"/>
    <col min="13" max="13" width="16" customWidth="1"/>
    <col min="14" max="14" width="20" customWidth="1"/>
    <col min="15" max="15" width="19" customWidth="1"/>
    <col min="16" max="17" width="18" customWidth="1"/>
    <col min="18" max="18" width="34" customWidth="1"/>
  </cols>
  <sheetData>
    <row r="1" spans="1:18" ht="26.1" customHeight="1">
      <c r="A1" s="19" t="s">
        <v>49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33.950000000000003" customHeight="1">
      <c r="A2" s="20" t="s">
        <v>50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4" spans="1:18" ht="32.1" customHeight="1">
      <c r="A4" s="1" t="s">
        <v>2</v>
      </c>
      <c r="B4" s="1" t="s">
        <v>51</v>
      </c>
      <c r="C4" s="1" t="s">
        <v>52</v>
      </c>
      <c r="D4" s="1" t="s">
        <v>4</v>
      </c>
      <c r="E4" s="1" t="s">
        <v>53</v>
      </c>
      <c r="F4" s="1" t="s">
        <v>6</v>
      </c>
      <c r="G4" s="1" t="s">
        <v>7</v>
      </c>
      <c r="H4" s="1" t="s">
        <v>10</v>
      </c>
      <c r="I4" s="1" t="s">
        <v>24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60</v>
      </c>
      <c r="Q4" s="1" t="s">
        <v>61</v>
      </c>
      <c r="R4" s="1" t="s">
        <v>62</v>
      </c>
    </row>
    <row r="5" spans="1:18">
      <c r="A5" s="2" t="s">
        <v>38</v>
      </c>
      <c r="B5" s="4">
        <f>IF(A5="","",COUNTIF($A$5:A5,A5))</f>
        <v>1</v>
      </c>
      <c r="C5" s="3">
        <v>46163</v>
      </c>
      <c r="D5" s="4" t="str">
        <f t="shared" ref="D5:D9" si="0">IF(C5="","",TEXT(C5,"dddd"))</f>
        <v>Thursday</v>
      </c>
      <c r="E5" s="5">
        <v>0.41274305555555557</v>
      </c>
      <c r="F5" s="2" t="s">
        <v>99</v>
      </c>
      <c r="G5" s="4" t="str">
        <f>IFERROR(INDEX('[1]Trade Log'!$F$5:$F$204,MATCH(A5,'[1]Trade Log'!$A$5:$A$204,0)),"")</f>
        <v>MU</v>
      </c>
      <c r="H5" s="4" t="str">
        <f>IFERROR(INDEX('[1]Trade Log'!$I$5:$I$204,MATCH(A5,'[1]Trade Log'!$A$5:$A$204,0)),"")</f>
        <v>Call</v>
      </c>
      <c r="I5" s="7">
        <v>1</v>
      </c>
      <c r="J5" s="8">
        <v>19.100000000000001</v>
      </c>
      <c r="K5" s="8">
        <v>0.1</v>
      </c>
      <c r="L5" s="8">
        <v>754</v>
      </c>
      <c r="M5" s="2" t="s">
        <v>63</v>
      </c>
      <c r="N5" s="9">
        <f t="shared" ref="N5:N68" si="1">IF(OR(I5="",J5=""),"",I5*J5*100)</f>
        <v>1910.0000000000002</v>
      </c>
      <c r="O5" s="9">
        <f t="shared" ref="O5:O68" si="2">IF(N5="","",N5-IF(K5="",0,K5))</f>
        <v>1909.9000000000003</v>
      </c>
      <c r="P5" s="9">
        <f>IF(A5="","",O5-(I5*INDEX('Trade Log'!$P$5:$P$204,MATCH(A5,'Trade Log'!$A$5:$A$204,0))*100)-IFERROR(INDEX('Trade Log'!$Q$5:$Q$204,MATCH(A5,'Trade Log'!$A$5:$A$204,0))*I5/INDEX('Trade Log'!$O$5:$O$204,MATCH(A5,'Trade Log'!$A$5:$A$204,0)),0))</f>
        <v>269.85200000000054</v>
      </c>
      <c r="Q5" s="12">
        <f>IFERROR(P5/(I5*INDEX('Trade Log'!$P$5:$P$204,MATCH(A5,'Trade Log'!$A$5:$A$204,0))*100+IFERROR(INDEX('Trade Log'!$Q$5:$Q$204,MATCH(A5,'Trade Log'!$A$5:$A$204,0))*I5/INDEX('Trade Log'!$O$5:$O$204,MATCH(A5,'Trade Log'!$A$5:$A$204,0)),0)),"")</f>
        <v>0.16453908666087858</v>
      </c>
      <c r="R5" s="10" t="s">
        <v>64</v>
      </c>
    </row>
    <row r="6" spans="1:18">
      <c r="A6" s="2" t="s">
        <v>38</v>
      </c>
      <c r="B6" s="4">
        <f>IF(A6="","",COUNTIF($A$5:A6,A6))</f>
        <v>2</v>
      </c>
      <c r="C6" s="3">
        <v>46163</v>
      </c>
      <c r="D6" s="4" t="str">
        <f t="shared" si="0"/>
        <v>Thursday</v>
      </c>
      <c r="E6" s="5">
        <v>0.41319444444444442</v>
      </c>
      <c r="F6" s="2" t="s">
        <v>99</v>
      </c>
      <c r="G6" s="4" t="str">
        <f>IFERROR(INDEX('[1]Trade Log'!$F$5:$F$204,MATCH(A6,'[1]Trade Log'!$A$5:$A$204,0)),"")</f>
        <v>MU</v>
      </c>
      <c r="H6" s="4" t="str">
        <f>IFERROR(INDEX('[1]Trade Log'!$I$5:$I$204,MATCH(A6,'[1]Trade Log'!$A$5:$A$204,0)),"")</f>
        <v>Call</v>
      </c>
      <c r="I6" s="7">
        <v>1</v>
      </c>
      <c r="J6" s="8">
        <v>21.24</v>
      </c>
      <c r="K6" s="8">
        <v>0.11</v>
      </c>
      <c r="L6" s="8">
        <v>757.58</v>
      </c>
      <c r="M6" s="2" t="s">
        <v>63</v>
      </c>
      <c r="N6" s="9">
        <f t="shared" si="1"/>
        <v>2124</v>
      </c>
      <c r="O6" s="9">
        <f t="shared" si="2"/>
        <v>2123.89</v>
      </c>
      <c r="P6" s="9">
        <f>IF(A6="","",O6-(I6*INDEX('Trade Log'!$P$5:$P$204,MATCH(A6,'Trade Log'!$A$5:$A$204,0))*100)-IFERROR(INDEX('Trade Log'!$Q$5:$Q$204,MATCH(A6,'Trade Log'!$A$5:$A$204,0))*I6/INDEX('Trade Log'!$O$5:$O$204,MATCH(A6,'Trade Log'!$A$5:$A$204,0)),0))</f>
        <v>483.8420000000001</v>
      </c>
      <c r="Q6" s="12">
        <f>IFERROR(P6/(I6*INDEX('Trade Log'!$P$5:$P$204,MATCH(A6,'Trade Log'!$A$5:$A$204,0))*100+IFERROR(INDEX('Trade Log'!$Q$5:$Q$204,MATCH(A6,'Trade Log'!$A$5:$A$204,0))*I6/INDEX('Trade Log'!$O$5:$O$204,MATCH(A6,'Trade Log'!$A$5:$A$204,0)),0)),"")</f>
        <v>0.29501697511292363</v>
      </c>
      <c r="R6" s="10" t="s">
        <v>65</v>
      </c>
    </row>
    <row r="7" spans="1:18">
      <c r="A7" s="2" t="s">
        <v>38</v>
      </c>
      <c r="B7" s="4">
        <f>IF(A7="","",COUNTIF($A$5:A7,A7))</f>
        <v>3</v>
      </c>
      <c r="C7" s="3">
        <v>46163</v>
      </c>
      <c r="D7" s="4" t="str">
        <f t="shared" si="0"/>
        <v>Thursday</v>
      </c>
      <c r="E7" s="5">
        <v>0.4136111111111111</v>
      </c>
      <c r="F7" s="2" t="s">
        <v>99</v>
      </c>
      <c r="G7" s="4" t="str">
        <f>IFERROR(INDEX('[1]Trade Log'!$F$5:$F$204,MATCH(A7,'[1]Trade Log'!$A$5:$A$204,0)),"")</f>
        <v>MU</v>
      </c>
      <c r="H7" s="4" t="str">
        <f>IFERROR(INDEX('[1]Trade Log'!$I$5:$I$204,MATCH(A7,'[1]Trade Log'!$A$5:$A$204,0)),"")</f>
        <v>Call</v>
      </c>
      <c r="I7" s="7">
        <v>1</v>
      </c>
      <c r="J7" s="8">
        <v>23.3</v>
      </c>
      <c r="K7" s="8">
        <v>0.11</v>
      </c>
      <c r="L7" s="8">
        <v>757.58</v>
      </c>
      <c r="M7" s="2" t="s">
        <v>151</v>
      </c>
      <c r="N7" s="9">
        <f t="shared" si="1"/>
        <v>2330</v>
      </c>
      <c r="O7" s="9">
        <f t="shared" si="2"/>
        <v>2329.89</v>
      </c>
      <c r="P7" s="9">
        <f>IF(A7="","",O7-(I7*INDEX('Trade Log'!$P$5:$P$204,MATCH(A7,'Trade Log'!$A$5:$A$204,0))*100)-IFERROR(INDEX('Trade Log'!$Q$5:$Q$204,MATCH(A7,'Trade Log'!$A$5:$A$204,0))*I7/INDEX('Trade Log'!$O$5:$O$204,MATCH(A7,'Trade Log'!$A$5:$A$204,0)),0))</f>
        <v>689.8420000000001</v>
      </c>
      <c r="Q7" s="12">
        <f>IFERROR(P7/(I7*INDEX('Trade Log'!$P$5:$P$204,MATCH(A7,'Trade Log'!$A$5:$A$204,0))*100+IFERROR(INDEX('Trade Log'!$Q$5:$Q$204,MATCH(A7,'Trade Log'!$A$5:$A$204,0))*I7/INDEX('Trade Log'!$O$5:$O$204,MATCH(A7,'Trade Log'!$A$5:$A$204,0)),0)),"")</f>
        <v>0.42062305493497765</v>
      </c>
      <c r="R7" s="10" t="s">
        <v>66</v>
      </c>
    </row>
    <row r="8" spans="1:18">
      <c r="A8" s="2" t="s">
        <v>38</v>
      </c>
      <c r="B8" s="4">
        <f>IF(A8="","",COUNTIF($A$5:A8,A8))</f>
        <v>4</v>
      </c>
      <c r="C8" s="3">
        <v>46163</v>
      </c>
      <c r="D8" s="4" t="str">
        <f t="shared" si="0"/>
        <v>Thursday</v>
      </c>
      <c r="E8" s="5">
        <v>0.41393518518518518</v>
      </c>
      <c r="F8" s="2" t="s">
        <v>99</v>
      </c>
      <c r="G8" s="4" t="str">
        <f>IFERROR(INDEX('[1]Trade Log'!$F$5:$F$204,MATCH(A8,'[1]Trade Log'!$A$5:$A$204,0)),"")</f>
        <v>MU</v>
      </c>
      <c r="H8" s="4" t="str">
        <f>IFERROR(INDEX('[1]Trade Log'!$I$5:$I$204,MATCH(A8,'[1]Trade Log'!$A$5:$A$204,0)),"")</f>
        <v>Call</v>
      </c>
      <c r="I8" s="7">
        <v>5</v>
      </c>
      <c r="J8" s="8">
        <v>22</v>
      </c>
      <c r="K8" s="8">
        <v>0.49</v>
      </c>
      <c r="L8" s="8">
        <v>761.72</v>
      </c>
      <c r="M8" s="2" t="s">
        <v>63</v>
      </c>
      <c r="N8" s="9">
        <f t="shared" si="1"/>
        <v>11000</v>
      </c>
      <c r="O8" s="9">
        <f t="shared" si="2"/>
        <v>10999.51</v>
      </c>
      <c r="P8" s="9">
        <f>IF(A8="","",O8-(I8*INDEX('Trade Log'!$P$5:$P$204,MATCH(A8,'Trade Log'!$A$5:$A$204,0))*100)-IFERROR(INDEX('Trade Log'!$Q$5:$Q$204,MATCH(A8,'Trade Log'!$A$5:$A$204,0))*I8/INDEX('Trade Log'!$O$5:$O$204,MATCH(A8,'Trade Log'!$A$5:$A$204,0)),0))</f>
        <v>2799.2700000000004</v>
      </c>
      <c r="Q8" s="12">
        <f>IFERROR(P8/(I8*INDEX('Trade Log'!$P$5:$P$204,MATCH(A8,'Trade Log'!$A$5:$A$204,0))*100+IFERROR(INDEX('Trade Log'!$Q$5:$Q$204,MATCH(A8,'Trade Log'!$A$5:$A$204,0))*I8/INDEX('Trade Log'!$O$5:$O$204,MATCH(A8,'Trade Log'!$A$5:$A$204,0)),0)),"")</f>
        <v>0.34136439909075839</v>
      </c>
      <c r="R8" s="10" t="s">
        <v>153</v>
      </c>
    </row>
    <row r="9" spans="1:18">
      <c r="A9" s="2" t="s">
        <v>38</v>
      </c>
      <c r="B9" s="4">
        <f>IF(A9="","",COUNTIF($A$5:A9,A9))</f>
        <v>5</v>
      </c>
      <c r="C9" s="3">
        <v>46163</v>
      </c>
      <c r="D9" s="4" t="str">
        <f t="shared" si="0"/>
        <v>Thursday</v>
      </c>
      <c r="E9" s="5">
        <v>0.41418981481481482</v>
      </c>
      <c r="F9" s="2" t="s">
        <v>99</v>
      </c>
      <c r="G9" s="4" t="str">
        <f>IFERROR(INDEX('[1]Trade Log'!$F$5:$F$204,MATCH(A9,'[1]Trade Log'!$A$5:$A$204,0)),"")</f>
        <v>MU</v>
      </c>
      <c r="H9" s="4" t="str">
        <f>IFERROR(INDEX('[1]Trade Log'!$I$5:$I$204,MATCH(A9,'[1]Trade Log'!$A$5:$A$204,0)),"")</f>
        <v>Call</v>
      </c>
      <c r="I9" s="7">
        <v>2</v>
      </c>
      <c r="J9" s="8">
        <v>21.96</v>
      </c>
      <c r="K9" s="8">
        <v>0.21</v>
      </c>
      <c r="L9" s="8">
        <v>761</v>
      </c>
      <c r="M9" s="2" t="s">
        <v>152</v>
      </c>
      <c r="N9" s="9">
        <f t="shared" si="1"/>
        <v>4392</v>
      </c>
      <c r="O9" s="9">
        <f t="shared" si="2"/>
        <v>4391.79</v>
      </c>
      <c r="P9" s="9">
        <f>IF(A9="","",O9-(I9*INDEX('Trade Log'!$P$5:$P$204,MATCH(A9,'Trade Log'!$A$5:$A$204,0))*100)-IFERROR(INDEX('Trade Log'!$Q$5:$Q$204,MATCH(A9,'Trade Log'!$A$5:$A$204,0))*I9/INDEX('Trade Log'!$O$5:$O$204,MATCH(A9,'Trade Log'!$A$5:$A$204,0)),0))</f>
        <v>1111.6940000000004</v>
      </c>
      <c r="Q9" s="12">
        <f>IFERROR(P9/(I9*INDEX('Trade Log'!$P$5:$P$204,MATCH(A9,'Trade Log'!$A$5:$A$204,0))*100+IFERROR(INDEX('Trade Log'!$Q$5:$Q$204,MATCH(A9,'Trade Log'!$A$5:$A$204,0))*I9/INDEX('Trade Log'!$O$5:$O$204,MATCH(A9,'Trade Log'!$A$5:$A$204,0)),0)),"")</f>
        <v>0.33892117791674409</v>
      </c>
      <c r="R9" s="10" t="s">
        <v>154</v>
      </c>
    </row>
    <row r="10" spans="1:18">
      <c r="A10" s="2"/>
      <c r="B10" s="4" t="str">
        <f>IF(A10="","",COUNTIF($A$5:A10,A10))</f>
        <v/>
      </c>
      <c r="C10" s="3"/>
      <c r="D10" s="4" t="str">
        <f t="shared" ref="D5:D68" si="3">IF(C10="","",TEXT(C10,"dddd"))</f>
        <v/>
      </c>
      <c r="E10" s="5"/>
      <c r="F10" s="2"/>
      <c r="G10" s="4" t="str">
        <f>IFERROR(INDEX('Trade Log'!$F$5:$F$204,MATCH(A10,'Trade Log'!$A$5:$A$204,0)),"")</f>
        <v/>
      </c>
      <c r="H10" s="4" t="str">
        <f>IFERROR(INDEX('Trade Log'!$I$5:$I$204,MATCH(A10,'Trade Log'!$A$5:$A$204,0)),"")</f>
        <v/>
      </c>
      <c r="I10" s="7"/>
      <c r="J10" s="8"/>
      <c r="K10" s="8"/>
      <c r="L10" s="8"/>
      <c r="M10" s="2"/>
      <c r="N10" s="9" t="str">
        <f t="shared" si="1"/>
        <v/>
      </c>
      <c r="O10" s="9" t="str">
        <f t="shared" si="2"/>
        <v/>
      </c>
      <c r="P10" s="9" t="str">
        <f>IF(A10="","",O10-(I10*INDEX('Trade Log'!$P$5:$P$204,MATCH(A10,'Trade Log'!$A$5:$A$204,0))*100)-IFERROR(INDEX('Trade Log'!$Q$5:$Q$204,MATCH(A10,'Trade Log'!$A$5:$A$204,0))*I10/INDEX('Trade Log'!$O$5:$O$204,MATCH(A10,'Trade Log'!$A$5:$A$204,0)),0))</f>
        <v/>
      </c>
      <c r="Q10" s="12" t="str">
        <f>IFERROR(P10/(I10*INDEX('Trade Log'!$P$5:$P$204,MATCH(A10,'Trade Log'!$A$5:$A$204,0))*100+IFERROR(INDEX('Trade Log'!$Q$5:$Q$204,MATCH(A10,'Trade Log'!$A$5:$A$204,0))*I10/INDEX('Trade Log'!$O$5:$O$204,MATCH(A10,'Trade Log'!$A$5:$A$204,0)),0)),"")</f>
        <v/>
      </c>
      <c r="R10" s="10"/>
    </row>
    <row r="11" spans="1:18">
      <c r="A11" s="2"/>
      <c r="B11" s="4" t="str">
        <f>IF(A11="","",COUNTIF($A$5:A11,A11))</f>
        <v/>
      </c>
      <c r="C11" s="3"/>
      <c r="D11" s="4" t="str">
        <f t="shared" si="3"/>
        <v/>
      </c>
      <c r="E11" s="5"/>
      <c r="F11" s="2"/>
      <c r="G11" s="4" t="str">
        <f>IFERROR(INDEX('Trade Log'!$F$5:$F$204,MATCH(A11,'Trade Log'!$A$5:$A$204,0)),"")</f>
        <v/>
      </c>
      <c r="H11" s="4" t="str">
        <f>IFERROR(INDEX('Trade Log'!$I$5:$I$204,MATCH(A11,'Trade Log'!$A$5:$A$204,0)),"")</f>
        <v/>
      </c>
      <c r="I11" s="7"/>
      <c r="J11" s="8"/>
      <c r="K11" s="8"/>
      <c r="L11" s="8"/>
      <c r="M11" s="2"/>
      <c r="N11" s="9" t="str">
        <f t="shared" si="1"/>
        <v/>
      </c>
      <c r="O11" s="9" t="str">
        <f t="shared" si="2"/>
        <v/>
      </c>
      <c r="P11" s="9" t="str">
        <f>IF(A11="","",O11-(I11*INDEX('Trade Log'!$P$5:$P$204,MATCH(A11,'Trade Log'!$A$5:$A$204,0))*100)-IFERROR(INDEX('Trade Log'!$Q$5:$Q$204,MATCH(A11,'Trade Log'!$A$5:$A$204,0))*I11/INDEX('Trade Log'!$O$5:$O$204,MATCH(A11,'Trade Log'!$A$5:$A$204,0)),0))</f>
        <v/>
      </c>
      <c r="Q11" s="12" t="str">
        <f>IFERROR(P11/(I11*INDEX('Trade Log'!$P$5:$P$204,MATCH(A11,'Trade Log'!$A$5:$A$204,0))*100+IFERROR(INDEX('Trade Log'!$Q$5:$Q$204,MATCH(A11,'Trade Log'!$A$5:$A$204,0))*I11/INDEX('Trade Log'!$O$5:$O$204,MATCH(A11,'Trade Log'!$A$5:$A$204,0)),0)),"")</f>
        <v/>
      </c>
      <c r="R11" s="10"/>
    </row>
    <row r="12" spans="1:18">
      <c r="A12" s="2"/>
      <c r="B12" s="4" t="str">
        <f>IF(A12="","",COUNTIF($A$5:A12,A12))</f>
        <v/>
      </c>
      <c r="C12" s="3"/>
      <c r="D12" s="4" t="str">
        <f t="shared" si="3"/>
        <v/>
      </c>
      <c r="E12" s="5"/>
      <c r="F12" s="2"/>
      <c r="G12" s="4" t="str">
        <f>IFERROR(INDEX('Trade Log'!$F$5:$F$204,MATCH(A12,'Trade Log'!$A$5:$A$204,0)),"")</f>
        <v/>
      </c>
      <c r="H12" s="4" t="str">
        <f>IFERROR(INDEX('Trade Log'!$I$5:$I$204,MATCH(A12,'Trade Log'!$A$5:$A$204,0)),"")</f>
        <v/>
      </c>
      <c r="I12" s="7"/>
      <c r="J12" s="8"/>
      <c r="K12" s="8"/>
      <c r="L12" s="8"/>
      <c r="M12" s="2"/>
      <c r="N12" s="9" t="str">
        <f t="shared" si="1"/>
        <v/>
      </c>
      <c r="O12" s="9" t="str">
        <f t="shared" si="2"/>
        <v/>
      </c>
      <c r="P12" s="9" t="str">
        <f>IF(A12="","",O12-(I12*INDEX('Trade Log'!$P$5:$P$204,MATCH(A12,'Trade Log'!$A$5:$A$204,0))*100)-IFERROR(INDEX('Trade Log'!$Q$5:$Q$204,MATCH(A12,'Trade Log'!$A$5:$A$204,0))*I12/INDEX('Trade Log'!$O$5:$O$204,MATCH(A12,'Trade Log'!$A$5:$A$204,0)),0))</f>
        <v/>
      </c>
      <c r="Q12" s="12" t="str">
        <f>IFERROR(P12/(I12*INDEX('Trade Log'!$P$5:$P$204,MATCH(A12,'Trade Log'!$A$5:$A$204,0))*100+IFERROR(INDEX('Trade Log'!$Q$5:$Q$204,MATCH(A12,'Trade Log'!$A$5:$A$204,0))*I12/INDEX('Trade Log'!$O$5:$O$204,MATCH(A12,'Trade Log'!$A$5:$A$204,0)),0)),"")</f>
        <v/>
      </c>
      <c r="R12" s="10"/>
    </row>
    <row r="13" spans="1:18">
      <c r="A13" s="2"/>
      <c r="B13" s="4" t="str">
        <f>IF(A13="","",COUNTIF($A$5:A13,A13))</f>
        <v/>
      </c>
      <c r="C13" s="3"/>
      <c r="D13" s="4" t="str">
        <f t="shared" si="3"/>
        <v/>
      </c>
      <c r="E13" s="5"/>
      <c r="F13" s="2"/>
      <c r="G13" s="4" t="str">
        <f>IFERROR(INDEX('Trade Log'!$F$5:$F$204,MATCH(A13,'Trade Log'!$A$5:$A$204,0)),"")</f>
        <v/>
      </c>
      <c r="H13" s="4" t="str">
        <f>IFERROR(INDEX('Trade Log'!$I$5:$I$204,MATCH(A13,'Trade Log'!$A$5:$A$204,0)),"")</f>
        <v/>
      </c>
      <c r="I13" s="7"/>
      <c r="J13" s="8"/>
      <c r="K13" s="8"/>
      <c r="L13" s="8"/>
      <c r="M13" s="2"/>
      <c r="N13" s="9" t="str">
        <f t="shared" si="1"/>
        <v/>
      </c>
      <c r="O13" s="9" t="str">
        <f t="shared" si="2"/>
        <v/>
      </c>
      <c r="P13" s="9" t="str">
        <f>IF(A13="","",O13-(I13*INDEX('Trade Log'!$P$5:$P$204,MATCH(A13,'Trade Log'!$A$5:$A$204,0))*100)-IFERROR(INDEX('Trade Log'!$Q$5:$Q$204,MATCH(A13,'Trade Log'!$A$5:$A$204,0))*I13/INDEX('Trade Log'!$O$5:$O$204,MATCH(A13,'Trade Log'!$A$5:$A$204,0)),0))</f>
        <v/>
      </c>
      <c r="Q13" s="12" t="str">
        <f>IFERROR(P13/(I13*INDEX('Trade Log'!$P$5:$P$204,MATCH(A13,'Trade Log'!$A$5:$A$204,0))*100+IFERROR(INDEX('Trade Log'!$Q$5:$Q$204,MATCH(A13,'Trade Log'!$A$5:$A$204,0))*I13/INDEX('Trade Log'!$O$5:$O$204,MATCH(A13,'Trade Log'!$A$5:$A$204,0)),0)),"")</f>
        <v/>
      </c>
      <c r="R13" s="10"/>
    </row>
    <row r="14" spans="1:18">
      <c r="A14" s="2"/>
      <c r="B14" s="4" t="str">
        <f>IF(A14="","",COUNTIF($A$5:A14,A14))</f>
        <v/>
      </c>
      <c r="C14" s="3"/>
      <c r="D14" s="4" t="str">
        <f t="shared" si="3"/>
        <v/>
      </c>
      <c r="E14" s="5"/>
      <c r="F14" s="2"/>
      <c r="G14" s="4" t="str">
        <f>IFERROR(INDEX('Trade Log'!$F$5:$F$204,MATCH(A14,'Trade Log'!$A$5:$A$204,0)),"")</f>
        <v/>
      </c>
      <c r="H14" s="4" t="str">
        <f>IFERROR(INDEX('Trade Log'!$I$5:$I$204,MATCH(A14,'Trade Log'!$A$5:$A$204,0)),"")</f>
        <v/>
      </c>
      <c r="I14" s="7"/>
      <c r="J14" s="8"/>
      <c r="K14" s="8"/>
      <c r="L14" s="8"/>
      <c r="M14" s="2"/>
      <c r="N14" s="9" t="str">
        <f t="shared" si="1"/>
        <v/>
      </c>
      <c r="O14" s="9" t="str">
        <f t="shared" si="2"/>
        <v/>
      </c>
      <c r="P14" s="9" t="str">
        <f>IF(A14="","",O14-(I14*INDEX('Trade Log'!$P$5:$P$204,MATCH(A14,'Trade Log'!$A$5:$A$204,0))*100)-IFERROR(INDEX('Trade Log'!$Q$5:$Q$204,MATCH(A14,'Trade Log'!$A$5:$A$204,0))*I14/INDEX('Trade Log'!$O$5:$O$204,MATCH(A14,'Trade Log'!$A$5:$A$204,0)),0))</f>
        <v/>
      </c>
      <c r="Q14" s="12" t="str">
        <f>IFERROR(P14/(I14*INDEX('Trade Log'!$P$5:$P$204,MATCH(A14,'Trade Log'!$A$5:$A$204,0))*100+IFERROR(INDEX('Trade Log'!$Q$5:$Q$204,MATCH(A14,'Trade Log'!$A$5:$A$204,0))*I14/INDEX('Trade Log'!$O$5:$O$204,MATCH(A14,'Trade Log'!$A$5:$A$204,0)),0)),"")</f>
        <v/>
      </c>
      <c r="R14" s="10"/>
    </row>
    <row r="15" spans="1:18">
      <c r="A15" s="2"/>
      <c r="B15" s="4" t="str">
        <f>IF(A15="","",COUNTIF($A$5:A15,A15))</f>
        <v/>
      </c>
      <c r="C15" s="3"/>
      <c r="D15" s="4" t="str">
        <f t="shared" si="3"/>
        <v/>
      </c>
      <c r="E15" s="5"/>
      <c r="F15" s="2"/>
      <c r="G15" s="4" t="str">
        <f>IFERROR(INDEX('Trade Log'!$F$5:$F$204,MATCH(A15,'Trade Log'!$A$5:$A$204,0)),"")</f>
        <v/>
      </c>
      <c r="H15" s="4" t="str">
        <f>IFERROR(INDEX('Trade Log'!$I$5:$I$204,MATCH(A15,'Trade Log'!$A$5:$A$204,0)),"")</f>
        <v/>
      </c>
      <c r="I15" s="7"/>
      <c r="J15" s="8"/>
      <c r="K15" s="8"/>
      <c r="L15" s="8"/>
      <c r="M15" s="2"/>
      <c r="N15" s="9" t="str">
        <f t="shared" si="1"/>
        <v/>
      </c>
      <c r="O15" s="9" t="str">
        <f t="shared" si="2"/>
        <v/>
      </c>
      <c r="P15" s="9" t="str">
        <f>IF(A15="","",O15-(I15*INDEX('Trade Log'!$P$5:$P$204,MATCH(A15,'Trade Log'!$A$5:$A$204,0))*100)-IFERROR(INDEX('Trade Log'!$Q$5:$Q$204,MATCH(A15,'Trade Log'!$A$5:$A$204,0))*I15/INDEX('Trade Log'!$O$5:$O$204,MATCH(A15,'Trade Log'!$A$5:$A$204,0)),0))</f>
        <v/>
      </c>
      <c r="Q15" s="12" t="str">
        <f>IFERROR(P15/(I15*INDEX('Trade Log'!$P$5:$P$204,MATCH(A15,'Trade Log'!$A$5:$A$204,0))*100+IFERROR(INDEX('Trade Log'!$Q$5:$Q$204,MATCH(A15,'Trade Log'!$A$5:$A$204,0))*I15/INDEX('Trade Log'!$O$5:$O$204,MATCH(A15,'Trade Log'!$A$5:$A$204,0)),0)),"")</f>
        <v/>
      </c>
      <c r="R15" s="10"/>
    </row>
    <row r="16" spans="1:18">
      <c r="A16" s="2"/>
      <c r="B16" s="4" t="str">
        <f>IF(A16="","",COUNTIF($A$5:A16,A16))</f>
        <v/>
      </c>
      <c r="C16" s="3"/>
      <c r="D16" s="4" t="str">
        <f t="shared" si="3"/>
        <v/>
      </c>
      <c r="E16" s="5"/>
      <c r="F16" s="2"/>
      <c r="G16" s="4" t="str">
        <f>IFERROR(INDEX('Trade Log'!$F$5:$F$204,MATCH(A16,'Trade Log'!$A$5:$A$204,0)),"")</f>
        <v/>
      </c>
      <c r="H16" s="4" t="str">
        <f>IFERROR(INDEX('Trade Log'!$I$5:$I$204,MATCH(A16,'Trade Log'!$A$5:$A$204,0)),"")</f>
        <v/>
      </c>
      <c r="I16" s="7"/>
      <c r="J16" s="8"/>
      <c r="K16" s="8"/>
      <c r="L16" s="8"/>
      <c r="M16" s="2"/>
      <c r="N16" s="9" t="str">
        <f t="shared" si="1"/>
        <v/>
      </c>
      <c r="O16" s="9" t="str">
        <f t="shared" si="2"/>
        <v/>
      </c>
      <c r="P16" s="9" t="str">
        <f>IF(A16="","",O16-(I16*INDEX('Trade Log'!$P$5:$P$204,MATCH(A16,'Trade Log'!$A$5:$A$204,0))*100)-IFERROR(INDEX('Trade Log'!$Q$5:$Q$204,MATCH(A16,'Trade Log'!$A$5:$A$204,0))*I16/INDEX('Trade Log'!$O$5:$O$204,MATCH(A16,'Trade Log'!$A$5:$A$204,0)),0))</f>
        <v/>
      </c>
      <c r="Q16" s="12" t="str">
        <f>IFERROR(P16/(I16*INDEX('Trade Log'!$P$5:$P$204,MATCH(A16,'Trade Log'!$A$5:$A$204,0))*100+IFERROR(INDEX('Trade Log'!$Q$5:$Q$204,MATCH(A16,'Trade Log'!$A$5:$A$204,0))*I16/INDEX('Trade Log'!$O$5:$O$204,MATCH(A16,'Trade Log'!$A$5:$A$204,0)),0)),"")</f>
        <v/>
      </c>
      <c r="R16" s="10"/>
    </row>
    <row r="17" spans="1:18">
      <c r="A17" s="2"/>
      <c r="B17" s="4" t="str">
        <f>IF(A17="","",COUNTIF($A$5:A17,A17))</f>
        <v/>
      </c>
      <c r="C17" s="3"/>
      <c r="D17" s="4" t="str">
        <f t="shared" si="3"/>
        <v/>
      </c>
      <c r="E17" s="5"/>
      <c r="F17" s="2"/>
      <c r="G17" s="4" t="str">
        <f>IFERROR(INDEX('Trade Log'!$F$5:$F$204,MATCH(A17,'Trade Log'!$A$5:$A$204,0)),"")</f>
        <v/>
      </c>
      <c r="H17" s="4" t="str">
        <f>IFERROR(INDEX('Trade Log'!$I$5:$I$204,MATCH(A17,'Trade Log'!$A$5:$A$204,0)),"")</f>
        <v/>
      </c>
      <c r="I17" s="7"/>
      <c r="J17" s="8"/>
      <c r="K17" s="8"/>
      <c r="L17" s="8"/>
      <c r="M17" s="2"/>
      <c r="N17" s="9" t="str">
        <f t="shared" si="1"/>
        <v/>
      </c>
      <c r="O17" s="9" t="str">
        <f t="shared" si="2"/>
        <v/>
      </c>
      <c r="P17" s="9" t="str">
        <f>IF(A17="","",O17-(I17*INDEX('Trade Log'!$P$5:$P$204,MATCH(A17,'Trade Log'!$A$5:$A$204,0))*100)-IFERROR(INDEX('Trade Log'!$Q$5:$Q$204,MATCH(A17,'Trade Log'!$A$5:$A$204,0))*I17/INDEX('Trade Log'!$O$5:$O$204,MATCH(A17,'Trade Log'!$A$5:$A$204,0)),0))</f>
        <v/>
      </c>
      <c r="Q17" s="12" t="str">
        <f>IFERROR(P17/(I17*INDEX('Trade Log'!$P$5:$P$204,MATCH(A17,'Trade Log'!$A$5:$A$204,0))*100+IFERROR(INDEX('Trade Log'!$Q$5:$Q$204,MATCH(A17,'Trade Log'!$A$5:$A$204,0))*I17/INDEX('Trade Log'!$O$5:$O$204,MATCH(A17,'Trade Log'!$A$5:$A$204,0)),0)),"")</f>
        <v/>
      </c>
      <c r="R17" s="10"/>
    </row>
    <row r="18" spans="1:18">
      <c r="A18" s="2"/>
      <c r="B18" s="4" t="str">
        <f>IF(A18="","",COUNTIF($A$5:A18,A18))</f>
        <v/>
      </c>
      <c r="C18" s="3"/>
      <c r="D18" s="4" t="str">
        <f t="shared" si="3"/>
        <v/>
      </c>
      <c r="E18" s="5"/>
      <c r="F18" s="2"/>
      <c r="G18" s="4" t="str">
        <f>IFERROR(INDEX('Trade Log'!$F$5:$F$204,MATCH(A18,'Trade Log'!$A$5:$A$204,0)),"")</f>
        <v/>
      </c>
      <c r="H18" s="4" t="str">
        <f>IFERROR(INDEX('Trade Log'!$I$5:$I$204,MATCH(A18,'Trade Log'!$A$5:$A$204,0)),"")</f>
        <v/>
      </c>
      <c r="I18" s="7"/>
      <c r="J18" s="8"/>
      <c r="K18" s="8"/>
      <c r="L18" s="8"/>
      <c r="M18" s="2"/>
      <c r="N18" s="9" t="str">
        <f t="shared" si="1"/>
        <v/>
      </c>
      <c r="O18" s="9" t="str">
        <f t="shared" si="2"/>
        <v/>
      </c>
      <c r="P18" s="9" t="str">
        <f>IF(A18="","",O18-(I18*INDEX('Trade Log'!$P$5:$P$204,MATCH(A18,'Trade Log'!$A$5:$A$204,0))*100)-IFERROR(INDEX('Trade Log'!$Q$5:$Q$204,MATCH(A18,'Trade Log'!$A$5:$A$204,0))*I18/INDEX('Trade Log'!$O$5:$O$204,MATCH(A18,'Trade Log'!$A$5:$A$204,0)),0))</f>
        <v/>
      </c>
      <c r="Q18" s="12" t="str">
        <f>IFERROR(P18/(I18*INDEX('Trade Log'!$P$5:$P$204,MATCH(A18,'Trade Log'!$A$5:$A$204,0))*100+IFERROR(INDEX('Trade Log'!$Q$5:$Q$204,MATCH(A18,'Trade Log'!$A$5:$A$204,0))*I18/INDEX('Trade Log'!$O$5:$O$204,MATCH(A18,'Trade Log'!$A$5:$A$204,0)),0)),"")</f>
        <v/>
      </c>
      <c r="R18" s="10"/>
    </row>
    <row r="19" spans="1:18">
      <c r="A19" s="2"/>
      <c r="B19" s="4" t="str">
        <f>IF(A19="","",COUNTIF($A$5:A19,A19))</f>
        <v/>
      </c>
      <c r="C19" s="3"/>
      <c r="D19" s="4" t="str">
        <f t="shared" si="3"/>
        <v/>
      </c>
      <c r="E19" s="5"/>
      <c r="F19" s="2"/>
      <c r="G19" s="4" t="str">
        <f>IFERROR(INDEX('Trade Log'!$F$5:$F$204,MATCH(A19,'Trade Log'!$A$5:$A$204,0)),"")</f>
        <v/>
      </c>
      <c r="H19" s="4" t="str">
        <f>IFERROR(INDEX('Trade Log'!$I$5:$I$204,MATCH(A19,'Trade Log'!$A$5:$A$204,0)),"")</f>
        <v/>
      </c>
      <c r="I19" s="7"/>
      <c r="J19" s="8"/>
      <c r="K19" s="8"/>
      <c r="L19" s="8"/>
      <c r="M19" s="2"/>
      <c r="N19" s="9" t="str">
        <f t="shared" si="1"/>
        <v/>
      </c>
      <c r="O19" s="9" t="str">
        <f t="shared" si="2"/>
        <v/>
      </c>
      <c r="P19" s="9" t="str">
        <f>IF(A19="","",O19-(I19*INDEX('Trade Log'!$P$5:$P$204,MATCH(A19,'Trade Log'!$A$5:$A$204,0))*100)-IFERROR(INDEX('Trade Log'!$Q$5:$Q$204,MATCH(A19,'Trade Log'!$A$5:$A$204,0))*I19/INDEX('Trade Log'!$O$5:$O$204,MATCH(A19,'Trade Log'!$A$5:$A$204,0)),0))</f>
        <v/>
      </c>
      <c r="Q19" s="12" t="str">
        <f>IFERROR(P19/(I19*INDEX('Trade Log'!$P$5:$P$204,MATCH(A19,'Trade Log'!$A$5:$A$204,0))*100+IFERROR(INDEX('Trade Log'!$Q$5:$Q$204,MATCH(A19,'Trade Log'!$A$5:$A$204,0))*I19/INDEX('Trade Log'!$O$5:$O$204,MATCH(A19,'Trade Log'!$A$5:$A$204,0)),0)),"")</f>
        <v/>
      </c>
      <c r="R19" s="10"/>
    </row>
    <row r="20" spans="1:18">
      <c r="A20" s="2"/>
      <c r="B20" s="4" t="str">
        <f>IF(A20="","",COUNTIF($A$5:A20,A20))</f>
        <v/>
      </c>
      <c r="C20" s="3"/>
      <c r="D20" s="4" t="str">
        <f t="shared" si="3"/>
        <v/>
      </c>
      <c r="E20" s="5"/>
      <c r="F20" s="2"/>
      <c r="G20" s="4" t="str">
        <f>IFERROR(INDEX('Trade Log'!$F$5:$F$204,MATCH(A20,'Trade Log'!$A$5:$A$204,0)),"")</f>
        <v/>
      </c>
      <c r="H20" s="4" t="str">
        <f>IFERROR(INDEX('Trade Log'!$I$5:$I$204,MATCH(A20,'Trade Log'!$A$5:$A$204,0)),"")</f>
        <v/>
      </c>
      <c r="I20" s="7"/>
      <c r="J20" s="8"/>
      <c r="K20" s="8"/>
      <c r="L20" s="8"/>
      <c r="M20" s="2"/>
      <c r="N20" s="9" t="str">
        <f t="shared" si="1"/>
        <v/>
      </c>
      <c r="O20" s="9" t="str">
        <f t="shared" si="2"/>
        <v/>
      </c>
      <c r="P20" s="9" t="str">
        <f>IF(A20="","",O20-(I20*INDEX('Trade Log'!$P$5:$P$204,MATCH(A20,'Trade Log'!$A$5:$A$204,0))*100)-IFERROR(INDEX('Trade Log'!$Q$5:$Q$204,MATCH(A20,'Trade Log'!$A$5:$A$204,0))*I20/INDEX('Trade Log'!$O$5:$O$204,MATCH(A20,'Trade Log'!$A$5:$A$204,0)),0))</f>
        <v/>
      </c>
      <c r="Q20" s="12" t="str">
        <f>IFERROR(P20/(I20*INDEX('Trade Log'!$P$5:$P$204,MATCH(A20,'Trade Log'!$A$5:$A$204,0))*100+IFERROR(INDEX('Trade Log'!$Q$5:$Q$204,MATCH(A20,'Trade Log'!$A$5:$A$204,0))*I20/INDEX('Trade Log'!$O$5:$O$204,MATCH(A20,'Trade Log'!$A$5:$A$204,0)),0)),"")</f>
        <v/>
      </c>
      <c r="R20" s="10"/>
    </row>
    <row r="21" spans="1:18">
      <c r="A21" s="2"/>
      <c r="B21" s="4" t="str">
        <f>IF(A21="","",COUNTIF($A$5:A21,A21))</f>
        <v/>
      </c>
      <c r="C21" s="3"/>
      <c r="D21" s="4" t="str">
        <f t="shared" si="3"/>
        <v/>
      </c>
      <c r="E21" s="5"/>
      <c r="F21" s="2"/>
      <c r="G21" s="4" t="str">
        <f>IFERROR(INDEX('Trade Log'!$F$5:$F$204,MATCH(A21,'Trade Log'!$A$5:$A$204,0)),"")</f>
        <v/>
      </c>
      <c r="H21" s="4" t="str">
        <f>IFERROR(INDEX('Trade Log'!$I$5:$I$204,MATCH(A21,'Trade Log'!$A$5:$A$204,0)),"")</f>
        <v/>
      </c>
      <c r="I21" s="7"/>
      <c r="J21" s="8"/>
      <c r="K21" s="8"/>
      <c r="L21" s="8"/>
      <c r="M21" s="2"/>
      <c r="N21" s="9" t="str">
        <f t="shared" si="1"/>
        <v/>
      </c>
      <c r="O21" s="9" t="str">
        <f t="shared" si="2"/>
        <v/>
      </c>
      <c r="P21" s="9" t="str">
        <f>IF(A21="","",O21-(I21*INDEX('Trade Log'!$P$5:$P$204,MATCH(A21,'Trade Log'!$A$5:$A$204,0))*100)-IFERROR(INDEX('Trade Log'!$Q$5:$Q$204,MATCH(A21,'Trade Log'!$A$5:$A$204,0))*I21/INDEX('Trade Log'!$O$5:$O$204,MATCH(A21,'Trade Log'!$A$5:$A$204,0)),0))</f>
        <v/>
      </c>
      <c r="Q21" s="12" t="str">
        <f>IFERROR(P21/(I21*INDEX('Trade Log'!$P$5:$P$204,MATCH(A21,'Trade Log'!$A$5:$A$204,0))*100+IFERROR(INDEX('Trade Log'!$Q$5:$Q$204,MATCH(A21,'Trade Log'!$A$5:$A$204,0))*I21/INDEX('Trade Log'!$O$5:$O$204,MATCH(A21,'Trade Log'!$A$5:$A$204,0)),0)),"")</f>
        <v/>
      </c>
      <c r="R21" s="10"/>
    </row>
    <row r="22" spans="1:18">
      <c r="A22" s="2"/>
      <c r="B22" s="4" t="str">
        <f>IF(A22="","",COUNTIF($A$5:A22,A22))</f>
        <v/>
      </c>
      <c r="C22" s="3"/>
      <c r="D22" s="4" t="str">
        <f t="shared" si="3"/>
        <v/>
      </c>
      <c r="E22" s="5"/>
      <c r="F22" s="2"/>
      <c r="G22" s="4" t="str">
        <f>IFERROR(INDEX('Trade Log'!$F$5:$F$204,MATCH(A22,'Trade Log'!$A$5:$A$204,0)),"")</f>
        <v/>
      </c>
      <c r="H22" s="4" t="str">
        <f>IFERROR(INDEX('Trade Log'!$I$5:$I$204,MATCH(A22,'Trade Log'!$A$5:$A$204,0)),"")</f>
        <v/>
      </c>
      <c r="I22" s="7"/>
      <c r="J22" s="8"/>
      <c r="K22" s="8"/>
      <c r="L22" s="8"/>
      <c r="M22" s="2"/>
      <c r="N22" s="9" t="str">
        <f t="shared" si="1"/>
        <v/>
      </c>
      <c r="O22" s="9" t="str">
        <f t="shared" si="2"/>
        <v/>
      </c>
      <c r="P22" s="9" t="str">
        <f>IF(A22="","",O22-(I22*INDEX('Trade Log'!$P$5:$P$204,MATCH(A22,'Trade Log'!$A$5:$A$204,0))*100)-IFERROR(INDEX('Trade Log'!$Q$5:$Q$204,MATCH(A22,'Trade Log'!$A$5:$A$204,0))*I22/INDEX('Trade Log'!$O$5:$O$204,MATCH(A22,'Trade Log'!$A$5:$A$204,0)),0))</f>
        <v/>
      </c>
      <c r="Q22" s="12" t="str">
        <f>IFERROR(P22/(I22*INDEX('Trade Log'!$P$5:$P$204,MATCH(A22,'Trade Log'!$A$5:$A$204,0))*100+IFERROR(INDEX('Trade Log'!$Q$5:$Q$204,MATCH(A22,'Trade Log'!$A$5:$A$204,0))*I22/INDEX('Trade Log'!$O$5:$O$204,MATCH(A22,'Trade Log'!$A$5:$A$204,0)),0)),"")</f>
        <v/>
      </c>
      <c r="R22" s="10"/>
    </row>
    <row r="23" spans="1:18">
      <c r="A23" s="2"/>
      <c r="B23" s="4" t="str">
        <f>IF(A23="","",COUNTIF($A$5:A23,A23))</f>
        <v/>
      </c>
      <c r="C23" s="3"/>
      <c r="D23" s="4" t="str">
        <f t="shared" si="3"/>
        <v/>
      </c>
      <c r="E23" s="5"/>
      <c r="F23" s="2"/>
      <c r="G23" s="4" t="str">
        <f>IFERROR(INDEX('Trade Log'!$F$5:$F$204,MATCH(A23,'Trade Log'!$A$5:$A$204,0)),"")</f>
        <v/>
      </c>
      <c r="H23" s="4" t="str">
        <f>IFERROR(INDEX('Trade Log'!$I$5:$I$204,MATCH(A23,'Trade Log'!$A$5:$A$204,0)),"")</f>
        <v/>
      </c>
      <c r="I23" s="7"/>
      <c r="J23" s="8"/>
      <c r="K23" s="8"/>
      <c r="L23" s="8"/>
      <c r="M23" s="2"/>
      <c r="N23" s="9" t="str">
        <f t="shared" si="1"/>
        <v/>
      </c>
      <c r="O23" s="9" t="str">
        <f t="shared" si="2"/>
        <v/>
      </c>
      <c r="P23" s="9" t="str">
        <f>IF(A23="","",O23-(I23*INDEX('Trade Log'!$P$5:$P$204,MATCH(A23,'Trade Log'!$A$5:$A$204,0))*100)-IFERROR(INDEX('Trade Log'!$Q$5:$Q$204,MATCH(A23,'Trade Log'!$A$5:$A$204,0))*I23/INDEX('Trade Log'!$O$5:$O$204,MATCH(A23,'Trade Log'!$A$5:$A$204,0)),0))</f>
        <v/>
      </c>
      <c r="Q23" s="12" t="str">
        <f>IFERROR(P23/(I23*INDEX('Trade Log'!$P$5:$P$204,MATCH(A23,'Trade Log'!$A$5:$A$204,0))*100+IFERROR(INDEX('Trade Log'!$Q$5:$Q$204,MATCH(A23,'Trade Log'!$A$5:$A$204,0))*I23/INDEX('Trade Log'!$O$5:$O$204,MATCH(A23,'Trade Log'!$A$5:$A$204,0)),0)),"")</f>
        <v/>
      </c>
      <c r="R23" s="10"/>
    </row>
    <row r="24" spans="1:18">
      <c r="A24" s="2"/>
      <c r="B24" s="4" t="str">
        <f>IF(A24="","",COUNTIF($A$5:A24,A24))</f>
        <v/>
      </c>
      <c r="C24" s="3"/>
      <c r="D24" s="4" t="str">
        <f t="shared" si="3"/>
        <v/>
      </c>
      <c r="E24" s="5"/>
      <c r="F24" s="2"/>
      <c r="G24" s="4" t="str">
        <f>IFERROR(INDEX('Trade Log'!$F$5:$F$204,MATCH(A24,'Trade Log'!$A$5:$A$204,0)),"")</f>
        <v/>
      </c>
      <c r="H24" s="4" t="str">
        <f>IFERROR(INDEX('Trade Log'!$I$5:$I$204,MATCH(A24,'Trade Log'!$A$5:$A$204,0)),"")</f>
        <v/>
      </c>
      <c r="I24" s="7"/>
      <c r="J24" s="8"/>
      <c r="K24" s="8"/>
      <c r="L24" s="8"/>
      <c r="M24" s="2"/>
      <c r="N24" s="9" t="str">
        <f t="shared" si="1"/>
        <v/>
      </c>
      <c r="O24" s="9" t="str">
        <f t="shared" si="2"/>
        <v/>
      </c>
      <c r="P24" s="9" t="str">
        <f>IF(A24="","",O24-(I24*INDEX('Trade Log'!$P$5:$P$204,MATCH(A24,'Trade Log'!$A$5:$A$204,0))*100)-IFERROR(INDEX('Trade Log'!$Q$5:$Q$204,MATCH(A24,'Trade Log'!$A$5:$A$204,0))*I24/INDEX('Trade Log'!$O$5:$O$204,MATCH(A24,'Trade Log'!$A$5:$A$204,0)),0))</f>
        <v/>
      </c>
      <c r="Q24" s="12" t="str">
        <f>IFERROR(P24/(I24*INDEX('Trade Log'!$P$5:$P$204,MATCH(A24,'Trade Log'!$A$5:$A$204,0))*100+IFERROR(INDEX('Trade Log'!$Q$5:$Q$204,MATCH(A24,'Trade Log'!$A$5:$A$204,0))*I24/INDEX('Trade Log'!$O$5:$O$204,MATCH(A24,'Trade Log'!$A$5:$A$204,0)),0)),"")</f>
        <v/>
      </c>
      <c r="R24" s="10"/>
    </row>
    <row r="25" spans="1:18">
      <c r="A25" s="2"/>
      <c r="B25" s="4" t="str">
        <f>IF(A25="","",COUNTIF($A$5:A25,A25))</f>
        <v/>
      </c>
      <c r="C25" s="3"/>
      <c r="D25" s="4" t="str">
        <f t="shared" si="3"/>
        <v/>
      </c>
      <c r="E25" s="5"/>
      <c r="F25" s="2"/>
      <c r="G25" s="4" t="str">
        <f>IFERROR(INDEX('Trade Log'!$F$5:$F$204,MATCH(A25,'Trade Log'!$A$5:$A$204,0)),"")</f>
        <v/>
      </c>
      <c r="H25" s="4" t="str">
        <f>IFERROR(INDEX('Trade Log'!$I$5:$I$204,MATCH(A25,'Trade Log'!$A$5:$A$204,0)),"")</f>
        <v/>
      </c>
      <c r="I25" s="7"/>
      <c r="J25" s="8"/>
      <c r="K25" s="8"/>
      <c r="L25" s="8"/>
      <c r="M25" s="2"/>
      <c r="N25" s="9" t="str">
        <f t="shared" si="1"/>
        <v/>
      </c>
      <c r="O25" s="9" t="str">
        <f t="shared" si="2"/>
        <v/>
      </c>
      <c r="P25" s="9" t="str">
        <f>IF(A25="","",O25-(I25*INDEX('Trade Log'!$P$5:$P$204,MATCH(A25,'Trade Log'!$A$5:$A$204,0))*100)-IFERROR(INDEX('Trade Log'!$Q$5:$Q$204,MATCH(A25,'Trade Log'!$A$5:$A$204,0))*I25/INDEX('Trade Log'!$O$5:$O$204,MATCH(A25,'Trade Log'!$A$5:$A$204,0)),0))</f>
        <v/>
      </c>
      <c r="Q25" s="12" t="str">
        <f>IFERROR(P25/(I25*INDEX('Trade Log'!$P$5:$P$204,MATCH(A25,'Trade Log'!$A$5:$A$204,0))*100+IFERROR(INDEX('Trade Log'!$Q$5:$Q$204,MATCH(A25,'Trade Log'!$A$5:$A$204,0))*I25/INDEX('Trade Log'!$O$5:$O$204,MATCH(A25,'Trade Log'!$A$5:$A$204,0)),0)),"")</f>
        <v/>
      </c>
      <c r="R25" s="10"/>
    </row>
    <row r="26" spans="1:18">
      <c r="A26" s="2"/>
      <c r="B26" s="4" t="str">
        <f>IF(A26="","",COUNTIF($A$5:A26,A26))</f>
        <v/>
      </c>
      <c r="C26" s="3"/>
      <c r="D26" s="4" t="str">
        <f t="shared" si="3"/>
        <v/>
      </c>
      <c r="E26" s="5"/>
      <c r="F26" s="2"/>
      <c r="G26" s="4" t="str">
        <f>IFERROR(INDEX('Trade Log'!$F$5:$F$204,MATCH(A26,'Trade Log'!$A$5:$A$204,0)),"")</f>
        <v/>
      </c>
      <c r="H26" s="4" t="str">
        <f>IFERROR(INDEX('Trade Log'!$I$5:$I$204,MATCH(A26,'Trade Log'!$A$5:$A$204,0)),"")</f>
        <v/>
      </c>
      <c r="I26" s="7"/>
      <c r="J26" s="8"/>
      <c r="K26" s="8"/>
      <c r="L26" s="8"/>
      <c r="M26" s="2"/>
      <c r="N26" s="9" t="str">
        <f t="shared" si="1"/>
        <v/>
      </c>
      <c r="O26" s="9" t="str">
        <f t="shared" si="2"/>
        <v/>
      </c>
      <c r="P26" s="9" t="str">
        <f>IF(A26="","",O26-(I26*INDEX('Trade Log'!$P$5:$P$204,MATCH(A26,'Trade Log'!$A$5:$A$204,0))*100)-IFERROR(INDEX('Trade Log'!$Q$5:$Q$204,MATCH(A26,'Trade Log'!$A$5:$A$204,0))*I26/INDEX('Trade Log'!$O$5:$O$204,MATCH(A26,'Trade Log'!$A$5:$A$204,0)),0))</f>
        <v/>
      </c>
      <c r="Q26" s="12" t="str">
        <f>IFERROR(P26/(I26*INDEX('Trade Log'!$P$5:$P$204,MATCH(A26,'Trade Log'!$A$5:$A$204,0))*100+IFERROR(INDEX('Trade Log'!$Q$5:$Q$204,MATCH(A26,'Trade Log'!$A$5:$A$204,0))*I26/INDEX('Trade Log'!$O$5:$O$204,MATCH(A26,'Trade Log'!$A$5:$A$204,0)),0)),"")</f>
        <v/>
      </c>
      <c r="R26" s="10"/>
    </row>
    <row r="27" spans="1:18">
      <c r="A27" s="2"/>
      <c r="B27" s="4" t="str">
        <f>IF(A27="","",COUNTIF($A$5:A27,A27))</f>
        <v/>
      </c>
      <c r="C27" s="3"/>
      <c r="D27" s="4" t="str">
        <f t="shared" si="3"/>
        <v/>
      </c>
      <c r="E27" s="5"/>
      <c r="F27" s="2"/>
      <c r="G27" s="4" t="str">
        <f>IFERROR(INDEX('Trade Log'!$F$5:$F$204,MATCH(A27,'Trade Log'!$A$5:$A$204,0)),"")</f>
        <v/>
      </c>
      <c r="H27" s="4" t="str">
        <f>IFERROR(INDEX('Trade Log'!$I$5:$I$204,MATCH(A27,'Trade Log'!$A$5:$A$204,0)),"")</f>
        <v/>
      </c>
      <c r="I27" s="7"/>
      <c r="J27" s="8"/>
      <c r="K27" s="8"/>
      <c r="L27" s="8"/>
      <c r="M27" s="2"/>
      <c r="N27" s="9" t="str">
        <f t="shared" si="1"/>
        <v/>
      </c>
      <c r="O27" s="9" t="str">
        <f t="shared" si="2"/>
        <v/>
      </c>
      <c r="P27" s="9" t="str">
        <f>IF(A27="","",O27-(I27*INDEX('Trade Log'!$P$5:$P$204,MATCH(A27,'Trade Log'!$A$5:$A$204,0))*100)-IFERROR(INDEX('Trade Log'!$Q$5:$Q$204,MATCH(A27,'Trade Log'!$A$5:$A$204,0))*I27/INDEX('Trade Log'!$O$5:$O$204,MATCH(A27,'Trade Log'!$A$5:$A$204,0)),0))</f>
        <v/>
      </c>
      <c r="Q27" s="12" t="str">
        <f>IFERROR(P27/(I27*INDEX('Trade Log'!$P$5:$P$204,MATCH(A27,'Trade Log'!$A$5:$A$204,0))*100+IFERROR(INDEX('Trade Log'!$Q$5:$Q$204,MATCH(A27,'Trade Log'!$A$5:$A$204,0))*I27/INDEX('Trade Log'!$O$5:$O$204,MATCH(A27,'Trade Log'!$A$5:$A$204,0)),0)),"")</f>
        <v/>
      </c>
      <c r="R27" s="10"/>
    </row>
    <row r="28" spans="1:18">
      <c r="A28" s="2"/>
      <c r="B28" s="4" t="str">
        <f>IF(A28="","",COUNTIF($A$5:A28,A28))</f>
        <v/>
      </c>
      <c r="C28" s="3"/>
      <c r="D28" s="4" t="str">
        <f t="shared" si="3"/>
        <v/>
      </c>
      <c r="E28" s="5"/>
      <c r="F28" s="2"/>
      <c r="G28" s="4" t="str">
        <f>IFERROR(INDEX('Trade Log'!$F$5:$F$204,MATCH(A28,'Trade Log'!$A$5:$A$204,0)),"")</f>
        <v/>
      </c>
      <c r="H28" s="4" t="str">
        <f>IFERROR(INDEX('Trade Log'!$I$5:$I$204,MATCH(A28,'Trade Log'!$A$5:$A$204,0)),"")</f>
        <v/>
      </c>
      <c r="I28" s="7"/>
      <c r="J28" s="8"/>
      <c r="K28" s="8"/>
      <c r="L28" s="8"/>
      <c r="M28" s="2"/>
      <c r="N28" s="9" t="str">
        <f t="shared" si="1"/>
        <v/>
      </c>
      <c r="O28" s="9" t="str">
        <f t="shared" si="2"/>
        <v/>
      </c>
      <c r="P28" s="9" t="str">
        <f>IF(A28="","",O28-(I28*INDEX('Trade Log'!$P$5:$P$204,MATCH(A28,'Trade Log'!$A$5:$A$204,0))*100)-IFERROR(INDEX('Trade Log'!$Q$5:$Q$204,MATCH(A28,'Trade Log'!$A$5:$A$204,0))*I28/INDEX('Trade Log'!$O$5:$O$204,MATCH(A28,'Trade Log'!$A$5:$A$204,0)),0))</f>
        <v/>
      </c>
      <c r="Q28" s="12" t="str">
        <f>IFERROR(P28/(I28*INDEX('Trade Log'!$P$5:$P$204,MATCH(A28,'Trade Log'!$A$5:$A$204,0))*100+IFERROR(INDEX('Trade Log'!$Q$5:$Q$204,MATCH(A28,'Trade Log'!$A$5:$A$204,0))*I28/INDEX('Trade Log'!$O$5:$O$204,MATCH(A28,'Trade Log'!$A$5:$A$204,0)),0)),"")</f>
        <v/>
      </c>
      <c r="R28" s="10"/>
    </row>
    <row r="29" spans="1:18">
      <c r="A29" s="2"/>
      <c r="B29" s="4" t="str">
        <f>IF(A29="","",COUNTIF($A$5:A29,A29))</f>
        <v/>
      </c>
      <c r="C29" s="3"/>
      <c r="D29" s="4" t="str">
        <f t="shared" si="3"/>
        <v/>
      </c>
      <c r="E29" s="5"/>
      <c r="F29" s="2"/>
      <c r="G29" s="4" t="str">
        <f>IFERROR(INDEX('Trade Log'!$F$5:$F$204,MATCH(A29,'Trade Log'!$A$5:$A$204,0)),"")</f>
        <v/>
      </c>
      <c r="H29" s="4" t="str">
        <f>IFERROR(INDEX('Trade Log'!$I$5:$I$204,MATCH(A29,'Trade Log'!$A$5:$A$204,0)),"")</f>
        <v/>
      </c>
      <c r="I29" s="7"/>
      <c r="J29" s="8"/>
      <c r="K29" s="8"/>
      <c r="L29" s="8"/>
      <c r="M29" s="2"/>
      <c r="N29" s="9" t="str">
        <f t="shared" si="1"/>
        <v/>
      </c>
      <c r="O29" s="9" t="str">
        <f t="shared" si="2"/>
        <v/>
      </c>
      <c r="P29" s="9" t="str">
        <f>IF(A29="","",O29-(I29*INDEX('Trade Log'!$P$5:$P$204,MATCH(A29,'Trade Log'!$A$5:$A$204,0))*100)-IFERROR(INDEX('Trade Log'!$Q$5:$Q$204,MATCH(A29,'Trade Log'!$A$5:$A$204,0))*I29/INDEX('Trade Log'!$O$5:$O$204,MATCH(A29,'Trade Log'!$A$5:$A$204,0)),0))</f>
        <v/>
      </c>
      <c r="Q29" s="12" t="str">
        <f>IFERROR(P29/(I29*INDEX('Trade Log'!$P$5:$P$204,MATCH(A29,'Trade Log'!$A$5:$A$204,0))*100+IFERROR(INDEX('Trade Log'!$Q$5:$Q$204,MATCH(A29,'Trade Log'!$A$5:$A$204,0))*I29/INDEX('Trade Log'!$O$5:$O$204,MATCH(A29,'Trade Log'!$A$5:$A$204,0)),0)),"")</f>
        <v/>
      </c>
      <c r="R29" s="10"/>
    </row>
    <row r="30" spans="1:18">
      <c r="A30" s="2"/>
      <c r="B30" s="4" t="str">
        <f>IF(A30="","",COUNTIF($A$5:A30,A30))</f>
        <v/>
      </c>
      <c r="C30" s="3"/>
      <c r="D30" s="4" t="str">
        <f t="shared" si="3"/>
        <v/>
      </c>
      <c r="E30" s="5"/>
      <c r="F30" s="2"/>
      <c r="G30" s="4" t="str">
        <f>IFERROR(INDEX('Trade Log'!$F$5:$F$204,MATCH(A30,'Trade Log'!$A$5:$A$204,0)),"")</f>
        <v/>
      </c>
      <c r="H30" s="4" t="str">
        <f>IFERROR(INDEX('Trade Log'!$I$5:$I$204,MATCH(A30,'Trade Log'!$A$5:$A$204,0)),"")</f>
        <v/>
      </c>
      <c r="I30" s="7"/>
      <c r="J30" s="8"/>
      <c r="K30" s="8"/>
      <c r="L30" s="8"/>
      <c r="M30" s="2"/>
      <c r="N30" s="9" t="str">
        <f t="shared" si="1"/>
        <v/>
      </c>
      <c r="O30" s="9" t="str">
        <f t="shared" si="2"/>
        <v/>
      </c>
      <c r="P30" s="9" t="str">
        <f>IF(A30="","",O30-(I30*INDEX('Trade Log'!$P$5:$P$204,MATCH(A30,'Trade Log'!$A$5:$A$204,0))*100)-IFERROR(INDEX('Trade Log'!$Q$5:$Q$204,MATCH(A30,'Trade Log'!$A$5:$A$204,0))*I30/INDEX('Trade Log'!$O$5:$O$204,MATCH(A30,'Trade Log'!$A$5:$A$204,0)),0))</f>
        <v/>
      </c>
      <c r="Q30" s="12" t="str">
        <f>IFERROR(P30/(I30*INDEX('Trade Log'!$P$5:$P$204,MATCH(A30,'Trade Log'!$A$5:$A$204,0))*100+IFERROR(INDEX('Trade Log'!$Q$5:$Q$204,MATCH(A30,'Trade Log'!$A$5:$A$204,0))*I30/INDEX('Trade Log'!$O$5:$O$204,MATCH(A30,'Trade Log'!$A$5:$A$204,0)),0)),"")</f>
        <v/>
      </c>
      <c r="R30" s="10"/>
    </row>
    <row r="31" spans="1:18">
      <c r="A31" s="2"/>
      <c r="B31" s="4" t="str">
        <f>IF(A31="","",COUNTIF($A$5:A31,A31))</f>
        <v/>
      </c>
      <c r="C31" s="3"/>
      <c r="D31" s="4" t="str">
        <f t="shared" si="3"/>
        <v/>
      </c>
      <c r="E31" s="5"/>
      <c r="F31" s="2"/>
      <c r="G31" s="4" t="str">
        <f>IFERROR(INDEX('Trade Log'!$F$5:$F$204,MATCH(A31,'Trade Log'!$A$5:$A$204,0)),"")</f>
        <v/>
      </c>
      <c r="H31" s="4" t="str">
        <f>IFERROR(INDEX('Trade Log'!$I$5:$I$204,MATCH(A31,'Trade Log'!$A$5:$A$204,0)),"")</f>
        <v/>
      </c>
      <c r="I31" s="7"/>
      <c r="J31" s="8"/>
      <c r="K31" s="8"/>
      <c r="L31" s="8"/>
      <c r="M31" s="2"/>
      <c r="N31" s="9" t="str">
        <f t="shared" si="1"/>
        <v/>
      </c>
      <c r="O31" s="9" t="str">
        <f t="shared" si="2"/>
        <v/>
      </c>
      <c r="P31" s="9" t="str">
        <f>IF(A31="","",O31-(I31*INDEX('Trade Log'!$P$5:$P$204,MATCH(A31,'Trade Log'!$A$5:$A$204,0))*100)-IFERROR(INDEX('Trade Log'!$Q$5:$Q$204,MATCH(A31,'Trade Log'!$A$5:$A$204,0))*I31/INDEX('Trade Log'!$O$5:$O$204,MATCH(A31,'Trade Log'!$A$5:$A$204,0)),0))</f>
        <v/>
      </c>
      <c r="Q31" s="12" t="str">
        <f>IFERROR(P31/(I31*INDEX('Trade Log'!$P$5:$P$204,MATCH(A31,'Trade Log'!$A$5:$A$204,0))*100+IFERROR(INDEX('Trade Log'!$Q$5:$Q$204,MATCH(A31,'Trade Log'!$A$5:$A$204,0))*I31/INDEX('Trade Log'!$O$5:$O$204,MATCH(A31,'Trade Log'!$A$5:$A$204,0)),0)),"")</f>
        <v/>
      </c>
      <c r="R31" s="10"/>
    </row>
    <row r="32" spans="1:18">
      <c r="A32" s="2"/>
      <c r="B32" s="4" t="str">
        <f>IF(A32="","",COUNTIF($A$5:A32,A32))</f>
        <v/>
      </c>
      <c r="C32" s="3"/>
      <c r="D32" s="4" t="str">
        <f t="shared" si="3"/>
        <v/>
      </c>
      <c r="E32" s="5"/>
      <c r="F32" s="2"/>
      <c r="G32" s="4" t="str">
        <f>IFERROR(INDEX('Trade Log'!$F$5:$F$204,MATCH(A32,'Trade Log'!$A$5:$A$204,0)),"")</f>
        <v/>
      </c>
      <c r="H32" s="4" t="str">
        <f>IFERROR(INDEX('Trade Log'!$I$5:$I$204,MATCH(A32,'Trade Log'!$A$5:$A$204,0)),"")</f>
        <v/>
      </c>
      <c r="I32" s="7"/>
      <c r="J32" s="8"/>
      <c r="K32" s="8"/>
      <c r="L32" s="8"/>
      <c r="M32" s="2"/>
      <c r="N32" s="9" t="str">
        <f t="shared" si="1"/>
        <v/>
      </c>
      <c r="O32" s="9" t="str">
        <f t="shared" si="2"/>
        <v/>
      </c>
      <c r="P32" s="9" t="str">
        <f>IF(A32="","",O32-(I32*INDEX('Trade Log'!$P$5:$P$204,MATCH(A32,'Trade Log'!$A$5:$A$204,0))*100)-IFERROR(INDEX('Trade Log'!$Q$5:$Q$204,MATCH(A32,'Trade Log'!$A$5:$A$204,0))*I32/INDEX('Trade Log'!$O$5:$O$204,MATCH(A32,'Trade Log'!$A$5:$A$204,0)),0))</f>
        <v/>
      </c>
      <c r="Q32" s="12" t="str">
        <f>IFERROR(P32/(I32*INDEX('Trade Log'!$P$5:$P$204,MATCH(A32,'Trade Log'!$A$5:$A$204,0))*100+IFERROR(INDEX('Trade Log'!$Q$5:$Q$204,MATCH(A32,'Trade Log'!$A$5:$A$204,0))*I32/INDEX('Trade Log'!$O$5:$O$204,MATCH(A32,'Trade Log'!$A$5:$A$204,0)),0)),"")</f>
        <v/>
      </c>
      <c r="R32" s="10"/>
    </row>
    <row r="33" spans="1:18">
      <c r="A33" s="2"/>
      <c r="B33" s="4" t="str">
        <f>IF(A33="","",COUNTIF($A$5:A33,A33))</f>
        <v/>
      </c>
      <c r="C33" s="3"/>
      <c r="D33" s="4" t="str">
        <f t="shared" si="3"/>
        <v/>
      </c>
      <c r="E33" s="5"/>
      <c r="F33" s="2"/>
      <c r="G33" s="4" t="str">
        <f>IFERROR(INDEX('Trade Log'!$F$5:$F$204,MATCH(A33,'Trade Log'!$A$5:$A$204,0)),"")</f>
        <v/>
      </c>
      <c r="H33" s="4" t="str">
        <f>IFERROR(INDEX('Trade Log'!$I$5:$I$204,MATCH(A33,'Trade Log'!$A$5:$A$204,0)),"")</f>
        <v/>
      </c>
      <c r="I33" s="7"/>
      <c r="J33" s="8"/>
      <c r="K33" s="8"/>
      <c r="L33" s="8"/>
      <c r="M33" s="2"/>
      <c r="N33" s="9" t="str">
        <f t="shared" si="1"/>
        <v/>
      </c>
      <c r="O33" s="9" t="str">
        <f t="shared" si="2"/>
        <v/>
      </c>
      <c r="P33" s="9" t="str">
        <f>IF(A33="","",O33-(I33*INDEX('Trade Log'!$P$5:$P$204,MATCH(A33,'Trade Log'!$A$5:$A$204,0))*100)-IFERROR(INDEX('Trade Log'!$Q$5:$Q$204,MATCH(A33,'Trade Log'!$A$5:$A$204,0))*I33/INDEX('Trade Log'!$O$5:$O$204,MATCH(A33,'Trade Log'!$A$5:$A$204,0)),0))</f>
        <v/>
      </c>
      <c r="Q33" s="12" t="str">
        <f>IFERROR(P33/(I33*INDEX('Trade Log'!$P$5:$P$204,MATCH(A33,'Trade Log'!$A$5:$A$204,0))*100+IFERROR(INDEX('Trade Log'!$Q$5:$Q$204,MATCH(A33,'Trade Log'!$A$5:$A$204,0))*I33/INDEX('Trade Log'!$O$5:$O$204,MATCH(A33,'Trade Log'!$A$5:$A$204,0)),0)),"")</f>
        <v/>
      </c>
      <c r="R33" s="10"/>
    </row>
    <row r="34" spans="1:18">
      <c r="A34" s="2"/>
      <c r="B34" s="4" t="str">
        <f>IF(A34="","",COUNTIF($A$5:A34,A34))</f>
        <v/>
      </c>
      <c r="C34" s="3"/>
      <c r="D34" s="4" t="str">
        <f t="shared" si="3"/>
        <v/>
      </c>
      <c r="E34" s="5"/>
      <c r="F34" s="2"/>
      <c r="G34" s="4" t="str">
        <f>IFERROR(INDEX('Trade Log'!$F$5:$F$204,MATCH(A34,'Trade Log'!$A$5:$A$204,0)),"")</f>
        <v/>
      </c>
      <c r="H34" s="4" t="str">
        <f>IFERROR(INDEX('Trade Log'!$I$5:$I$204,MATCH(A34,'Trade Log'!$A$5:$A$204,0)),"")</f>
        <v/>
      </c>
      <c r="I34" s="7"/>
      <c r="J34" s="8"/>
      <c r="K34" s="8"/>
      <c r="L34" s="8"/>
      <c r="M34" s="2"/>
      <c r="N34" s="9" t="str">
        <f t="shared" si="1"/>
        <v/>
      </c>
      <c r="O34" s="9" t="str">
        <f t="shared" si="2"/>
        <v/>
      </c>
      <c r="P34" s="9" t="str">
        <f>IF(A34="","",O34-(I34*INDEX('Trade Log'!$P$5:$P$204,MATCH(A34,'Trade Log'!$A$5:$A$204,0))*100)-IFERROR(INDEX('Trade Log'!$Q$5:$Q$204,MATCH(A34,'Trade Log'!$A$5:$A$204,0))*I34/INDEX('Trade Log'!$O$5:$O$204,MATCH(A34,'Trade Log'!$A$5:$A$204,0)),0))</f>
        <v/>
      </c>
      <c r="Q34" s="12" t="str">
        <f>IFERROR(P34/(I34*INDEX('Trade Log'!$P$5:$P$204,MATCH(A34,'Trade Log'!$A$5:$A$204,0))*100+IFERROR(INDEX('Trade Log'!$Q$5:$Q$204,MATCH(A34,'Trade Log'!$A$5:$A$204,0))*I34/INDEX('Trade Log'!$O$5:$O$204,MATCH(A34,'Trade Log'!$A$5:$A$204,0)),0)),"")</f>
        <v/>
      </c>
      <c r="R34" s="10"/>
    </row>
    <row r="35" spans="1:18">
      <c r="A35" s="2"/>
      <c r="B35" s="4" t="str">
        <f>IF(A35="","",COUNTIF($A$5:A35,A35))</f>
        <v/>
      </c>
      <c r="C35" s="3"/>
      <c r="D35" s="4" t="str">
        <f t="shared" si="3"/>
        <v/>
      </c>
      <c r="E35" s="5"/>
      <c r="F35" s="2"/>
      <c r="G35" s="4" t="str">
        <f>IFERROR(INDEX('Trade Log'!$F$5:$F$204,MATCH(A35,'Trade Log'!$A$5:$A$204,0)),"")</f>
        <v/>
      </c>
      <c r="H35" s="4" t="str">
        <f>IFERROR(INDEX('Trade Log'!$I$5:$I$204,MATCH(A35,'Trade Log'!$A$5:$A$204,0)),"")</f>
        <v/>
      </c>
      <c r="I35" s="7"/>
      <c r="J35" s="8"/>
      <c r="K35" s="8"/>
      <c r="L35" s="8"/>
      <c r="M35" s="2"/>
      <c r="N35" s="9" t="str">
        <f t="shared" si="1"/>
        <v/>
      </c>
      <c r="O35" s="9" t="str">
        <f t="shared" si="2"/>
        <v/>
      </c>
      <c r="P35" s="9" t="str">
        <f>IF(A35="","",O35-(I35*INDEX('Trade Log'!$P$5:$P$204,MATCH(A35,'Trade Log'!$A$5:$A$204,0))*100)-IFERROR(INDEX('Trade Log'!$Q$5:$Q$204,MATCH(A35,'Trade Log'!$A$5:$A$204,0))*I35/INDEX('Trade Log'!$O$5:$O$204,MATCH(A35,'Trade Log'!$A$5:$A$204,0)),0))</f>
        <v/>
      </c>
      <c r="Q35" s="12" t="str">
        <f>IFERROR(P35/(I35*INDEX('Trade Log'!$P$5:$P$204,MATCH(A35,'Trade Log'!$A$5:$A$204,0))*100+IFERROR(INDEX('Trade Log'!$Q$5:$Q$204,MATCH(A35,'Trade Log'!$A$5:$A$204,0))*I35/INDEX('Trade Log'!$O$5:$O$204,MATCH(A35,'Trade Log'!$A$5:$A$204,0)),0)),"")</f>
        <v/>
      </c>
      <c r="R35" s="10"/>
    </row>
    <row r="36" spans="1:18">
      <c r="A36" s="2"/>
      <c r="B36" s="4" t="str">
        <f>IF(A36="","",COUNTIF($A$5:A36,A36))</f>
        <v/>
      </c>
      <c r="C36" s="3"/>
      <c r="D36" s="4" t="str">
        <f t="shared" si="3"/>
        <v/>
      </c>
      <c r="E36" s="5"/>
      <c r="F36" s="2"/>
      <c r="G36" s="4" t="str">
        <f>IFERROR(INDEX('Trade Log'!$F$5:$F$204,MATCH(A36,'Trade Log'!$A$5:$A$204,0)),"")</f>
        <v/>
      </c>
      <c r="H36" s="4" t="str">
        <f>IFERROR(INDEX('Trade Log'!$I$5:$I$204,MATCH(A36,'Trade Log'!$A$5:$A$204,0)),"")</f>
        <v/>
      </c>
      <c r="I36" s="7"/>
      <c r="J36" s="8"/>
      <c r="K36" s="8"/>
      <c r="L36" s="8"/>
      <c r="M36" s="2"/>
      <c r="N36" s="9" t="str">
        <f t="shared" si="1"/>
        <v/>
      </c>
      <c r="O36" s="9" t="str">
        <f t="shared" si="2"/>
        <v/>
      </c>
      <c r="P36" s="9" t="str">
        <f>IF(A36="","",O36-(I36*INDEX('Trade Log'!$P$5:$P$204,MATCH(A36,'Trade Log'!$A$5:$A$204,0))*100)-IFERROR(INDEX('Trade Log'!$Q$5:$Q$204,MATCH(A36,'Trade Log'!$A$5:$A$204,0))*I36/INDEX('Trade Log'!$O$5:$O$204,MATCH(A36,'Trade Log'!$A$5:$A$204,0)),0))</f>
        <v/>
      </c>
      <c r="Q36" s="12" t="str">
        <f>IFERROR(P36/(I36*INDEX('Trade Log'!$P$5:$P$204,MATCH(A36,'Trade Log'!$A$5:$A$204,0))*100+IFERROR(INDEX('Trade Log'!$Q$5:$Q$204,MATCH(A36,'Trade Log'!$A$5:$A$204,0))*I36/INDEX('Trade Log'!$O$5:$O$204,MATCH(A36,'Trade Log'!$A$5:$A$204,0)),0)),"")</f>
        <v/>
      </c>
      <c r="R36" s="10"/>
    </row>
    <row r="37" spans="1:18">
      <c r="A37" s="2"/>
      <c r="B37" s="4" t="str">
        <f>IF(A37="","",COUNTIF($A$5:A37,A37))</f>
        <v/>
      </c>
      <c r="C37" s="3"/>
      <c r="D37" s="4" t="str">
        <f t="shared" si="3"/>
        <v/>
      </c>
      <c r="E37" s="5"/>
      <c r="F37" s="2"/>
      <c r="G37" s="4" t="str">
        <f>IFERROR(INDEX('Trade Log'!$F$5:$F$204,MATCH(A37,'Trade Log'!$A$5:$A$204,0)),"")</f>
        <v/>
      </c>
      <c r="H37" s="4" t="str">
        <f>IFERROR(INDEX('Trade Log'!$I$5:$I$204,MATCH(A37,'Trade Log'!$A$5:$A$204,0)),"")</f>
        <v/>
      </c>
      <c r="I37" s="7"/>
      <c r="J37" s="8"/>
      <c r="K37" s="8"/>
      <c r="L37" s="8"/>
      <c r="M37" s="2"/>
      <c r="N37" s="9" t="str">
        <f t="shared" si="1"/>
        <v/>
      </c>
      <c r="O37" s="9" t="str">
        <f t="shared" si="2"/>
        <v/>
      </c>
      <c r="P37" s="9" t="str">
        <f>IF(A37="","",O37-(I37*INDEX('Trade Log'!$P$5:$P$204,MATCH(A37,'Trade Log'!$A$5:$A$204,0))*100)-IFERROR(INDEX('Trade Log'!$Q$5:$Q$204,MATCH(A37,'Trade Log'!$A$5:$A$204,0))*I37/INDEX('Trade Log'!$O$5:$O$204,MATCH(A37,'Trade Log'!$A$5:$A$204,0)),0))</f>
        <v/>
      </c>
      <c r="Q37" s="12" t="str">
        <f>IFERROR(P37/(I37*INDEX('Trade Log'!$P$5:$P$204,MATCH(A37,'Trade Log'!$A$5:$A$204,0))*100+IFERROR(INDEX('Trade Log'!$Q$5:$Q$204,MATCH(A37,'Trade Log'!$A$5:$A$204,0))*I37/INDEX('Trade Log'!$O$5:$O$204,MATCH(A37,'Trade Log'!$A$5:$A$204,0)),0)),"")</f>
        <v/>
      </c>
      <c r="R37" s="10"/>
    </row>
    <row r="38" spans="1:18">
      <c r="A38" s="2"/>
      <c r="B38" s="4" t="str">
        <f>IF(A38="","",COUNTIF($A$5:A38,A38))</f>
        <v/>
      </c>
      <c r="C38" s="3"/>
      <c r="D38" s="4" t="str">
        <f t="shared" si="3"/>
        <v/>
      </c>
      <c r="E38" s="5"/>
      <c r="F38" s="2"/>
      <c r="G38" s="4" t="str">
        <f>IFERROR(INDEX('Trade Log'!$F$5:$F$204,MATCH(A38,'Trade Log'!$A$5:$A$204,0)),"")</f>
        <v/>
      </c>
      <c r="H38" s="4" t="str">
        <f>IFERROR(INDEX('Trade Log'!$I$5:$I$204,MATCH(A38,'Trade Log'!$A$5:$A$204,0)),"")</f>
        <v/>
      </c>
      <c r="I38" s="7"/>
      <c r="J38" s="8"/>
      <c r="K38" s="8"/>
      <c r="L38" s="8"/>
      <c r="M38" s="2"/>
      <c r="N38" s="9" t="str">
        <f t="shared" si="1"/>
        <v/>
      </c>
      <c r="O38" s="9" t="str">
        <f t="shared" si="2"/>
        <v/>
      </c>
      <c r="P38" s="9" t="str">
        <f>IF(A38="","",O38-(I38*INDEX('Trade Log'!$P$5:$P$204,MATCH(A38,'Trade Log'!$A$5:$A$204,0))*100)-IFERROR(INDEX('Trade Log'!$Q$5:$Q$204,MATCH(A38,'Trade Log'!$A$5:$A$204,0))*I38/INDEX('Trade Log'!$O$5:$O$204,MATCH(A38,'Trade Log'!$A$5:$A$204,0)),0))</f>
        <v/>
      </c>
      <c r="Q38" s="12" t="str">
        <f>IFERROR(P38/(I38*INDEX('Trade Log'!$P$5:$P$204,MATCH(A38,'Trade Log'!$A$5:$A$204,0))*100+IFERROR(INDEX('Trade Log'!$Q$5:$Q$204,MATCH(A38,'Trade Log'!$A$5:$A$204,0))*I38/INDEX('Trade Log'!$O$5:$O$204,MATCH(A38,'Trade Log'!$A$5:$A$204,0)),0)),"")</f>
        <v/>
      </c>
      <c r="R38" s="10"/>
    </row>
    <row r="39" spans="1:18">
      <c r="A39" s="2"/>
      <c r="B39" s="4" t="str">
        <f>IF(A39="","",COUNTIF($A$5:A39,A39))</f>
        <v/>
      </c>
      <c r="C39" s="3"/>
      <c r="D39" s="4" t="str">
        <f t="shared" si="3"/>
        <v/>
      </c>
      <c r="E39" s="5"/>
      <c r="F39" s="2"/>
      <c r="G39" s="4" t="str">
        <f>IFERROR(INDEX('Trade Log'!$F$5:$F$204,MATCH(A39,'Trade Log'!$A$5:$A$204,0)),"")</f>
        <v/>
      </c>
      <c r="H39" s="4" t="str">
        <f>IFERROR(INDEX('Trade Log'!$I$5:$I$204,MATCH(A39,'Trade Log'!$A$5:$A$204,0)),"")</f>
        <v/>
      </c>
      <c r="I39" s="7"/>
      <c r="J39" s="8"/>
      <c r="K39" s="8"/>
      <c r="L39" s="8"/>
      <c r="M39" s="2"/>
      <c r="N39" s="9" t="str">
        <f t="shared" si="1"/>
        <v/>
      </c>
      <c r="O39" s="9" t="str">
        <f t="shared" si="2"/>
        <v/>
      </c>
      <c r="P39" s="9" t="str">
        <f>IF(A39="","",O39-(I39*INDEX('Trade Log'!$P$5:$P$204,MATCH(A39,'Trade Log'!$A$5:$A$204,0))*100)-IFERROR(INDEX('Trade Log'!$Q$5:$Q$204,MATCH(A39,'Trade Log'!$A$5:$A$204,0))*I39/INDEX('Trade Log'!$O$5:$O$204,MATCH(A39,'Trade Log'!$A$5:$A$204,0)),0))</f>
        <v/>
      </c>
      <c r="Q39" s="12" t="str">
        <f>IFERROR(P39/(I39*INDEX('Trade Log'!$P$5:$P$204,MATCH(A39,'Trade Log'!$A$5:$A$204,0))*100+IFERROR(INDEX('Trade Log'!$Q$5:$Q$204,MATCH(A39,'Trade Log'!$A$5:$A$204,0))*I39/INDEX('Trade Log'!$O$5:$O$204,MATCH(A39,'Trade Log'!$A$5:$A$204,0)),0)),"")</f>
        <v/>
      </c>
      <c r="R39" s="10"/>
    </row>
    <row r="40" spans="1:18">
      <c r="A40" s="2"/>
      <c r="B40" s="4" t="str">
        <f>IF(A40="","",COUNTIF($A$5:A40,A40))</f>
        <v/>
      </c>
      <c r="C40" s="3"/>
      <c r="D40" s="4" t="str">
        <f t="shared" si="3"/>
        <v/>
      </c>
      <c r="E40" s="5"/>
      <c r="F40" s="2"/>
      <c r="G40" s="4" t="str">
        <f>IFERROR(INDEX('Trade Log'!$F$5:$F$204,MATCH(A40,'Trade Log'!$A$5:$A$204,0)),"")</f>
        <v/>
      </c>
      <c r="H40" s="4" t="str">
        <f>IFERROR(INDEX('Trade Log'!$I$5:$I$204,MATCH(A40,'Trade Log'!$A$5:$A$204,0)),"")</f>
        <v/>
      </c>
      <c r="I40" s="7"/>
      <c r="J40" s="8"/>
      <c r="K40" s="8"/>
      <c r="L40" s="8"/>
      <c r="M40" s="2"/>
      <c r="N40" s="9" t="str">
        <f t="shared" si="1"/>
        <v/>
      </c>
      <c r="O40" s="9" t="str">
        <f t="shared" si="2"/>
        <v/>
      </c>
      <c r="P40" s="9" t="str">
        <f>IF(A40="","",O40-(I40*INDEX('Trade Log'!$P$5:$P$204,MATCH(A40,'Trade Log'!$A$5:$A$204,0))*100)-IFERROR(INDEX('Trade Log'!$Q$5:$Q$204,MATCH(A40,'Trade Log'!$A$5:$A$204,0))*I40/INDEX('Trade Log'!$O$5:$O$204,MATCH(A40,'Trade Log'!$A$5:$A$204,0)),0))</f>
        <v/>
      </c>
      <c r="Q40" s="12" t="str">
        <f>IFERROR(P40/(I40*INDEX('Trade Log'!$P$5:$P$204,MATCH(A40,'Trade Log'!$A$5:$A$204,0))*100+IFERROR(INDEX('Trade Log'!$Q$5:$Q$204,MATCH(A40,'Trade Log'!$A$5:$A$204,0))*I40/INDEX('Trade Log'!$O$5:$O$204,MATCH(A40,'Trade Log'!$A$5:$A$204,0)),0)),"")</f>
        <v/>
      </c>
      <c r="R40" s="10"/>
    </row>
    <row r="41" spans="1:18">
      <c r="A41" s="2"/>
      <c r="B41" s="4" t="str">
        <f>IF(A41="","",COUNTIF($A$5:A41,A41))</f>
        <v/>
      </c>
      <c r="C41" s="3"/>
      <c r="D41" s="4" t="str">
        <f t="shared" si="3"/>
        <v/>
      </c>
      <c r="E41" s="5"/>
      <c r="F41" s="2"/>
      <c r="G41" s="4" t="str">
        <f>IFERROR(INDEX('Trade Log'!$F$5:$F$204,MATCH(A41,'Trade Log'!$A$5:$A$204,0)),"")</f>
        <v/>
      </c>
      <c r="H41" s="4" t="str">
        <f>IFERROR(INDEX('Trade Log'!$I$5:$I$204,MATCH(A41,'Trade Log'!$A$5:$A$204,0)),"")</f>
        <v/>
      </c>
      <c r="I41" s="7"/>
      <c r="J41" s="8"/>
      <c r="K41" s="8"/>
      <c r="L41" s="8"/>
      <c r="M41" s="2"/>
      <c r="N41" s="9" t="str">
        <f t="shared" si="1"/>
        <v/>
      </c>
      <c r="O41" s="9" t="str">
        <f t="shared" si="2"/>
        <v/>
      </c>
      <c r="P41" s="9" t="str">
        <f>IF(A41="","",O41-(I41*INDEX('Trade Log'!$P$5:$P$204,MATCH(A41,'Trade Log'!$A$5:$A$204,0))*100)-IFERROR(INDEX('Trade Log'!$Q$5:$Q$204,MATCH(A41,'Trade Log'!$A$5:$A$204,0))*I41/INDEX('Trade Log'!$O$5:$O$204,MATCH(A41,'Trade Log'!$A$5:$A$204,0)),0))</f>
        <v/>
      </c>
      <c r="Q41" s="12" t="str">
        <f>IFERROR(P41/(I41*INDEX('Trade Log'!$P$5:$P$204,MATCH(A41,'Trade Log'!$A$5:$A$204,0))*100+IFERROR(INDEX('Trade Log'!$Q$5:$Q$204,MATCH(A41,'Trade Log'!$A$5:$A$204,0))*I41/INDEX('Trade Log'!$O$5:$O$204,MATCH(A41,'Trade Log'!$A$5:$A$204,0)),0)),"")</f>
        <v/>
      </c>
      <c r="R41" s="10"/>
    </row>
    <row r="42" spans="1:18">
      <c r="A42" s="2"/>
      <c r="B42" s="4" t="str">
        <f>IF(A42="","",COUNTIF($A$5:A42,A42))</f>
        <v/>
      </c>
      <c r="C42" s="3"/>
      <c r="D42" s="4" t="str">
        <f t="shared" si="3"/>
        <v/>
      </c>
      <c r="E42" s="5"/>
      <c r="F42" s="2"/>
      <c r="G42" s="4" t="str">
        <f>IFERROR(INDEX('Trade Log'!$F$5:$F$204,MATCH(A42,'Trade Log'!$A$5:$A$204,0)),"")</f>
        <v/>
      </c>
      <c r="H42" s="4" t="str">
        <f>IFERROR(INDEX('Trade Log'!$I$5:$I$204,MATCH(A42,'Trade Log'!$A$5:$A$204,0)),"")</f>
        <v/>
      </c>
      <c r="I42" s="7"/>
      <c r="J42" s="8"/>
      <c r="K42" s="8"/>
      <c r="L42" s="8"/>
      <c r="M42" s="2"/>
      <c r="N42" s="9" t="str">
        <f t="shared" si="1"/>
        <v/>
      </c>
      <c r="O42" s="9" t="str">
        <f t="shared" si="2"/>
        <v/>
      </c>
      <c r="P42" s="9" t="str">
        <f>IF(A42="","",O42-(I42*INDEX('Trade Log'!$P$5:$P$204,MATCH(A42,'Trade Log'!$A$5:$A$204,0))*100)-IFERROR(INDEX('Trade Log'!$Q$5:$Q$204,MATCH(A42,'Trade Log'!$A$5:$A$204,0))*I42/INDEX('Trade Log'!$O$5:$O$204,MATCH(A42,'Trade Log'!$A$5:$A$204,0)),0))</f>
        <v/>
      </c>
      <c r="Q42" s="12" t="str">
        <f>IFERROR(P42/(I42*INDEX('Trade Log'!$P$5:$P$204,MATCH(A42,'Trade Log'!$A$5:$A$204,0))*100+IFERROR(INDEX('Trade Log'!$Q$5:$Q$204,MATCH(A42,'Trade Log'!$A$5:$A$204,0))*I42/INDEX('Trade Log'!$O$5:$O$204,MATCH(A42,'Trade Log'!$A$5:$A$204,0)),0)),"")</f>
        <v/>
      </c>
      <c r="R42" s="10"/>
    </row>
    <row r="43" spans="1:18">
      <c r="A43" s="2"/>
      <c r="B43" s="4" t="str">
        <f>IF(A43="","",COUNTIF($A$5:A43,A43))</f>
        <v/>
      </c>
      <c r="C43" s="3"/>
      <c r="D43" s="4" t="str">
        <f t="shared" si="3"/>
        <v/>
      </c>
      <c r="E43" s="5"/>
      <c r="F43" s="2"/>
      <c r="G43" s="4" t="str">
        <f>IFERROR(INDEX('Trade Log'!$F$5:$F$204,MATCH(A43,'Trade Log'!$A$5:$A$204,0)),"")</f>
        <v/>
      </c>
      <c r="H43" s="4" t="str">
        <f>IFERROR(INDEX('Trade Log'!$I$5:$I$204,MATCH(A43,'Trade Log'!$A$5:$A$204,0)),"")</f>
        <v/>
      </c>
      <c r="I43" s="7"/>
      <c r="J43" s="8"/>
      <c r="K43" s="8"/>
      <c r="L43" s="8"/>
      <c r="M43" s="2"/>
      <c r="N43" s="9" t="str">
        <f t="shared" si="1"/>
        <v/>
      </c>
      <c r="O43" s="9" t="str">
        <f t="shared" si="2"/>
        <v/>
      </c>
      <c r="P43" s="9" t="str">
        <f>IF(A43="","",O43-(I43*INDEX('Trade Log'!$P$5:$P$204,MATCH(A43,'Trade Log'!$A$5:$A$204,0))*100)-IFERROR(INDEX('Trade Log'!$Q$5:$Q$204,MATCH(A43,'Trade Log'!$A$5:$A$204,0))*I43/INDEX('Trade Log'!$O$5:$O$204,MATCH(A43,'Trade Log'!$A$5:$A$204,0)),0))</f>
        <v/>
      </c>
      <c r="Q43" s="12" t="str">
        <f>IFERROR(P43/(I43*INDEX('Trade Log'!$P$5:$P$204,MATCH(A43,'Trade Log'!$A$5:$A$204,0))*100+IFERROR(INDEX('Trade Log'!$Q$5:$Q$204,MATCH(A43,'Trade Log'!$A$5:$A$204,0))*I43/INDEX('Trade Log'!$O$5:$O$204,MATCH(A43,'Trade Log'!$A$5:$A$204,0)),0)),"")</f>
        <v/>
      </c>
      <c r="R43" s="10"/>
    </row>
    <row r="44" spans="1:18">
      <c r="A44" s="2"/>
      <c r="B44" s="4" t="str">
        <f>IF(A44="","",COUNTIF($A$5:A44,A44))</f>
        <v/>
      </c>
      <c r="C44" s="3"/>
      <c r="D44" s="4" t="str">
        <f t="shared" si="3"/>
        <v/>
      </c>
      <c r="E44" s="5"/>
      <c r="F44" s="2"/>
      <c r="G44" s="4" t="str">
        <f>IFERROR(INDEX('Trade Log'!$F$5:$F$204,MATCH(A44,'Trade Log'!$A$5:$A$204,0)),"")</f>
        <v/>
      </c>
      <c r="H44" s="4" t="str">
        <f>IFERROR(INDEX('Trade Log'!$I$5:$I$204,MATCH(A44,'Trade Log'!$A$5:$A$204,0)),"")</f>
        <v/>
      </c>
      <c r="I44" s="7"/>
      <c r="J44" s="8"/>
      <c r="K44" s="8"/>
      <c r="L44" s="8"/>
      <c r="M44" s="2"/>
      <c r="N44" s="9" t="str">
        <f t="shared" si="1"/>
        <v/>
      </c>
      <c r="O44" s="9" t="str">
        <f t="shared" si="2"/>
        <v/>
      </c>
      <c r="P44" s="9" t="str">
        <f>IF(A44="","",O44-(I44*INDEX('Trade Log'!$P$5:$P$204,MATCH(A44,'Trade Log'!$A$5:$A$204,0))*100)-IFERROR(INDEX('Trade Log'!$Q$5:$Q$204,MATCH(A44,'Trade Log'!$A$5:$A$204,0))*I44/INDEX('Trade Log'!$O$5:$O$204,MATCH(A44,'Trade Log'!$A$5:$A$204,0)),0))</f>
        <v/>
      </c>
      <c r="Q44" s="12" t="str">
        <f>IFERROR(P44/(I44*INDEX('Trade Log'!$P$5:$P$204,MATCH(A44,'Trade Log'!$A$5:$A$204,0))*100+IFERROR(INDEX('Trade Log'!$Q$5:$Q$204,MATCH(A44,'Trade Log'!$A$5:$A$204,0))*I44/INDEX('Trade Log'!$O$5:$O$204,MATCH(A44,'Trade Log'!$A$5:$A$204,0)),0)),"")</f>
        <v/>
      </c>
      <c r="R44" s="10"/>
    </row>
    <row r="45" spans="1:18">
      <c r="A45" s="2"/>
      <c r="B45" s="4" t="str">
        <f>IF(A45="","",COUNTIF($A$5:A45,A45))</f>
        <v/>
      </c>
      <c r="C45" s="3"/>
      <c r="D45" s="4" t="str">
        <f t="shared" si="3"/>
        <v/>
      </c>
      <c r="E45" s="5"/>
      <c r="F45" s="2"/>
      <c r="G45" s="4" t="str">
        <f>IFERROR(INDEX('Trade Log'!$F$5:$F$204,MATCH(A45,'Trade Log'!$A$5:$A$204,0)),"")</f>
        <v/>
      </c>
      <c r="H45" s="4" t="str">
        <f>IFERROR(INDEX('Trade Log'!$I$5:$I$204,MATCH(A45,'Trade Log'!$A$5:$A$204,0)),"")</f>
        <v/>
      </c>
      <c r="I45" s="7"/>
      <c r="J45" s="8"/>
      <c r="K45" s="8"/>
      <c r="L45" s="8"/>
      <c r="M45" s="2"/>
      <c r="N45" s="9" t="str">
        <f t="shared" si="1"/>
        <v/>
      </c>
      <c r="O45" s="9" t="str">
        <f t="shared" si="2"/>
        <v/>
      </c>
      <c r="P45" s="9" t="str">
        <f>IF(A45="","",O45-(I45*INDEX('Trade Log'!$P$5:$P$204,MATCH(A45,'Trade Log'!$A$5:$A$204,0))*100)-IFERROR(INDEX('Trade Log'!$Q$5:$Q$204,MATCH(A45,'Trade Log'!$A$5:$A$204,0))*I45/INDEX('Trade Log'!$O$5:$O$204,MATCH(A45,'Trade Log'!$A$5:$A$204,0)),0))</f>
        <v/>
      </c>
      <c r="Q45" s="12" t="str">
        <f>IFERROR(P45/(I45*INDEX('Trade Log'!$P$5:$P$204,MATCH(A45,'Trade Log'!$A$5:$A$204,0))*100+IFERROR(INDEX('Trade Log'!$Q$5:$Q$204,MATCH(A45,'Trade Log'!$A$5:$A$204,0))*I45/INDEX('Trade Log'!$O$5:$O$204,MATCH(A45,'Trade Log'!$A$5:$A$204,0)),0)),"")</f>
        <v/>
      </c>
      <c r="R45" s="10"/>
    </row>
    <row r="46" spans="1:18">
      <c r="A46" s="2"/>
      <c r="B46" s="4" t="str">
        <f>IF(A46="","",COUNTIF($A$5:A46,A46))</f>
        <v/>
      </c>
      <c r="C46" s="3"/>
      <c r="D46" s="4" t="str">
        <f t="shared" si="3"/>
        <v/>
      </c>
      <c r="E46" s="5"/>
      <c r="F46" s="2"/>
      <c r="G46" s="4" t="str">
        <f>IFERROR(INDEX('Trade Log'!$F$5:$F$204,MATCH(A46,'Trade Log'!$A$5:$A$204,0)),"")</f>
        <v/>
      </c>
      <c r="H46" s="4" t="str">
        <f>IFERROR(INDEX('Trade Log'!$I$5:$I$204,MATCH(A46,'Trade Log'!$A$5:$A$204,0)),"")</f>
        <v/>
      </c>
      <c r="I46" s="7"/>
      <c r="J46" s="8"/>
      <c r="K46" s="8"/>
      <c r="L46" s="8"/>
      <c r="M46" s="2"/>
      <c r="N46" s="9" t="str">
        <f t="shared" si="1"/>
        <v/>
      </c>
      <c r="O46" s="9" t="str">
        <f t="shared" si="2"/>
        <v/>
      </c>
      <c r="P46" s="9" t="str">
        <f>IF(A46="","",O46-(I46*INDEX('Trade Log'!$P$5:$P$204,MATCH(A46,'Trade Log'!$A$5:$A$204,0))*100)-IFERROR(INDEX('Trade Log'!$Q$5:$Q$204,MATCH(A46,'Trade Log'!$A$5:$A$204,0))*I46/INDEX('Trade Log'!$O$5:$O$204,MATCH(A46,'Trade Log'!$A$5:$A$204,0)),0))</f>
        <v/>
      </c>
      <c r="Q46" s="12" t="str">
        <f>IFERROR(P46/(I46*INDEX('Trade Log'!$P$5:$P$204,MATCH(A46,'Trade Log'!$A$5:$A$204,0))*100+IFERROR(INDEX('Trade Log'!$Q$5:$Q$204,MATCH(A46,'Trade Log'!$A$5:$A$204,0))*I46/INDEX('Trade Log'!$O$5:$O$204,MATCH(A46,'Trade Log'!$A$5:$A$204,0)),0)),"")</f>
        <v/>
      </c>
      <c r="R46" s="10"/>
    </row>
    <row r="47" spans="1:18">
      <c r="A47" s="2"/>
      <c r="B47" s="4" t="str">
        <f>IF(A47="","",COUNTIF($A$5:A47,A47))</f>
        <v/>
      </c>
      <c r="C47" s="3"/>
      <c r="D47" s="4" t="str">
        <f t="shared" si="3"/>
        <v/>
      </c>
      <c r="E47" s="5"/>
      <c r="F47" s="2"/>
      <c r="G47" s="4" t="str">
        <f>IFERROR(INDEX('Trade Log'!$F$5:$F$204,MATCH(A47,'Trade Log'!$A$5:$A$204,0)),"")</f>
        <v/>
      </c>
      <c r="H47" s="4" t="str">
        <f>IFERROR(INDEX('Trade Log'!$I$5:$I$204,MATCH(A47,'Trade Log'!$A$5:$A$204,0)),"")</f>
        <v/>
      </c>
      <c r="I47" s="7"/>
      <c r="J47" s="8"/>
      <c r="K47" s="8"/>
      <c r="L47" s="8"/>
      <c r="M47" s="2"/>
      <c r="N47" s="9" t="str">
        <f t="shared" si="1"/>
        <v/>
      </c>
      <c r="O47" s="9" t="str">
        <f t="shared" si="2"/>
        <v/>
      </c>
      <c r="P47" s="9" t="str">
        <f>IF(A47="","",O47-(I47*INDEX('Trade Log'!$P$5:$P$204,MATCH(A47,'Trade Log'!$A$5:$A$204,0))*100)-IFERROR(INDEX('Trade Log'!$Q$5:$Q$204,MATCH(A47,'Trade Log'!$A$5:$A$204,0))*I47/INDEX('Trade Log'!$O$5:$O$204,MATCH(A47,'Trade Log'!$A$5:$A$204,0)),0))</f>
        <v/>
      </c>
      <c r="Q47" s="12" t="str">
        <f>IFERROR(P47/(I47*INDEX('Trade Log'!$P$5:$P$204,MATCH(A47,'Trade Log'!$A$5:$A$204,0))*100+IFERROR(INDEX('Trade Log'!$Q$5:$Q$204,MATCH(A47,'Trade Log'!$A$5:$A$204,0))*I47/INDEX('Trade Log'!$O$5:$O$204,MATCH(A47,'Trade Log'!$A$5:$A$204,0)),0)),"")</f>
        <v/>
      </c>
      <c r="R47" s="10"/>
    </row>
    <row r="48" spans="1:18">
      <c r="A48" s="2"/>
      <c r="B48" s="4" t="str">
        <f>IF(A48="","",COUNTIF($A$5:A48,A48))</f>
        <v/>
      </c>
      <c r="C48" s="3"/>
      <c r="D48" s="4" t="str">
        <f t="shared" si="3"/>
        <v/>
      </c>
      <c r="E48" s="5"/>
      <c r="F48" s="2"/>
      <c r="G48" s="4" t="str">
        <f>IFERROR(INDEX('Trade Log'!$F$5:$F$204,MATCH(A48,'Trade Log'!$A$5:$A$204,0)),"")</f>
        <v/>
      </c>
      <c r="H48" s="4" t="str">
        <f>IFERROR(INDEX('Trade Log'!$I$5:$I$204,MATCH(A48,'Trade Log'!$A$5:$A$204,0)),"")</f>
        <v/>
      </c>
      <c r="I48" s="7"/>
      <c r="J48" s="8"/>
      <c r="K48" s="8"/>
      <c r="L48" s="8"/>
      <c r="M48" s="2"/>
      <c r="N48" s="9" t="str">
        <f t="shared" si="1"/>
        <v/>
      </c>
      <c r="O48" s="9" t="str">
        <f t="shared" si="2"/>
        <v/>
      </c>
      <c r="P48" s="9" t="str">
        <f>IF(A48="","",O48-(I48*INDEX('Trade Log'!$P$5:$P$204,MATCH(A48,'Trade Log'!$A$5:$A$204,0))*100)-IFERROR(INDEX('Trade Log'!$Q$5:$Q$204,MATCH(A48,'Trade Log'!$A$5:$A$204,0))*I48/INDEX('Trade Log'!$O$5:$O$204,MATCH(A48,'Trade Log'!$A$5:$A$204,0)),0))</f>
        <v/>
      </c>
      <c r="Q48" s="12" t="str">
        <f>IFERROR(P48/(I48*INDEX('Trade Log'!$P$5:$P$204,MATCH(A48,'Trade Log'!$A$5:$A$204,0))*100+IFERROR(INDEX('Trade Log'!$Q$5:$Q$204,MATCH(A48,'Trade Log'!$A$5:$A$204,0))*I48/INDEX('Trade Log'!$O$5:$O$204,MATCH(A48,'Trade Log'!$A$5:$A$204,0)),0)),"")</f>
        <v/>
      </c>
      <c r="R48" s="10"/>
    </row>
    <row r="49" spans="1:18">
      <c r="A49" s="2"/>
      <c r="B49" s="4" t="str">
        <f>IF(A49="","",COUNTIF($A$5:A49,A49))</f>
        <v/>
      </c>
      <c r="C49" s="3"/>
      <c r="D49" s="4" t="str">
        <f t="shared" si="3"/>
        <v/>
      </c>
      <c r="E49" s="5"/>
      <c r="F49" s="2"/>
      <c r="G49" s="4" t="str">
        <f>IFERROR(INDEX('Trade Log'!$F$5:$F$204,MATCH(A49,'Trade Log'!$A$5:$A$204,0)),"")</f>
        <v/>
      </c>
      <c r="H49" s="4" t="str">
        <f>IFERROR(INDEX('Trade Log'!$I$5:$I$204,MATCH(A49,'Trade Log'!$A$5:$A$204,0)),"")</f>
        <v/>
      </c>
      <c r="I49" s="7"/>
      <c r="J49" s="8"/>
      <c r="K49" s="8"/>
      <c r="L49" s="8"/>
      <c r="M49" s="2"/>
      <c r="N49" s="9" t="str">
        <f t="shared" si="1"/>
        <v/>
      </c>
      <c r="O49" s="9" t="str">
        <f t="shared" si="2"/>
        <v/>
      </c>
      <c r="P49" s="9" t="str">
        <f>IF(A49="","",O49-(I49*INDEX('Trade Log'!$P$5:$P$204,MATCH(A49,'Trade Log'!$A$5:$A$204,0))*100)-IFERROR(INDEX('Trade Log'!$Q$5:$Q$204,MATCH(A49,'Trade Log'!$A$5:$A$204,0))*I49/INDEX('Trade Log'!$O$5:$O$204,MATCH(A49,'Trade Log'!$A$5:$A$204,0)),0))</f>
        <v/>
      </c>
      <c r="Q49" s="12" t="str">
        <f>IFERROR(P49/(I49*INDEX('Trade Log'!$P$5:$P$204,MATCH(A49,'Trade Log'!$A$5:$A$204,0))*100+IFERROR(INDEX('Trade Log'!$Q$5:$Q$204,MATCH(A49,'Trade Log'!$A$5:$A$204,0))*I49/INDEX('Trade Log'!$O$5:$O$204,MATCH(A49,'Trade Log'!$A$5:$A$204,0)),0)),"")</f>
        <v/>
      </c>
      <c r="R49" s="10"/>
    </row>
    <row r="50" spans="1:18">
      <c r="A50" s="2"/>
      <c r="B50" s="4" t="str">
        <f>IF(A50="","",COUNTIF($A$5:A50,A50))</f>
        <v/>
      </c>
      <c r="C50" s="3"/>
      <c r="D50" s="4" t="str">
        <f t="shared" si="3"/>
        <v/>
      </c>
      <c r="E50" s="5"/>
      <c r="F50" s="2"/>
      <c r="G50" s="4" t="str">
        <f>IFERROR(INDEX('Trade Log'!$F$5:$F$204,MATCH(A50,'Trade Log'!$A$5:$A$204,0)),"")</f>
        <v/>
      </c>
      <c r="H50" s="4" t="str">
        <f>IFERROR(INDEX('Trade Log'!$I$5:$I$204,MATCH(A50,'Trade Log'!$A$5:$A$204,0)),"")</f>
        <v/>
      </c>
      <c r="I50" s="7"/>
      <c r="J50" s="8"/>
      <c r="K50" s="8"/>
      <c r="L50" s="8"/>
      <c r="M50" s="2"/>
      <c r="N50" s="9" t="str">
        <f t="shared" si="1"/>
        <v/>
      </c>
      <c r="O50" s="9" t="str">
        <f t="shared" si="2"/>
        <v/>
      </c>
      <c r="P50" s="9" t="str">
        <f>IF(A50="","",O50-(I50*INDEX('Trade Log'!$P$5:$P$204,MATCH(A50,'Trade Log'!$A$5:$A$204,0))*100)-IFERROR(INDEX('Trade Log'!$Q$5:$Q$204,MATCH(A50,'Trade Log'!$A$5:$A$204,0))*I50/INDEX('Trade Log'!$O$5:$O$204,MATCH(A50,'Trade Log'!$A$5:$A$204,0)),0))</f>
        <v/>
      </c>
      <c r="Q50" s="12" t="str">
        <f>IFERROR(P50/(I50*INDEX('Trade Log'!$P$5:$P$204,MATCH(A50,'Trade Log'!$A$5:$A$204,0))*100+IFERROR(INDEX('Trade Log'!$Q$5:$Q$204,MATCH(A50,'Trade Log'!$A$5:$A$204,0))*I50/INDEX('Trade Log'!$O$5:$O$204,MATCH(A50,'Trade Log'!$A$5:$A$204,0)),0)),"")</f>
        <v/>
      </c>
      <c r="R50" s="10"/>
    </row>
    <row r="51" spans="1:18">
      <c r="A51" s="2"/>
      <c r="B51" s="4" t="str">
        <f>IF(A51="","",COUNTIF($A$5:A51,A51))</f>
        <v/>
      </c>
      <c r="C51" s="3"/>
      <c r="D51" s="4" t="str">
        <f t="shared" si="3"/>
        <v/>
      </c>
      <c r="E51" s="5"/>
      <c r="F51" s="2"/>
      <c r="G51" s="4" t="str">
        <f>IFERROR(INDEX('Trade Log'!$F$5:$F$204,MATCH(A51,'Trade Log'!$A$5:$A$204,0)),"")</f>
        <v/>
      </c>
      <c r="H51" s="4" t="str">
        <f>IFERROR(INDEX('Trade Log'!$I$5:$I$204,MATCH(A51,'Trade Log'!$A$5:$A$204,0)),"")</f>
        <v/>
      </c>
      <c r="I51" s="7"/>
      <c r="J51" s="8"/>
      <c r="K51" s="8"/>
      <c r="L51" s="8"/>
      <c r="M51" s="2"/>
      <c r="N51" s="9" t="str">
        <f t="shared" si="1"/>
        <v/>
      </c>
      <c r="O51" s="9" t="str">
        <f t="shared" si="2"/>
        <v/>
      </c>
      <c r="P51" s="9" t="str">
        <f>IF(A51="","",O51-(I51*INDEX('Trade Log'!$P$5:$P$204,MATCH(A51,'Trade Log'!$A$5:$A$204,0))*100)-IFERROR(INDEX('Trade Log'!$Q$5:$Q$204,MATCH(A51,'Trade Log'!$A$5:$A$204,0))*I51/INDEX('Trade Log'!$O$5:$O$204,MATCH(A51,'Trade Log'!$A$5:$A$204,0)),0))</f>
        <v/>
      </c>
      <c r="Q51" s="12" t="str">
        <f>IFERROR(P51/(I51*INDEX('Trade Log'!$P$5:$P$204,MATCH(A51,'Trade Log'!$A$5:$A$204,0))*100+IFERROR(INDEX('Trade Log'!$Q$5:$Q$204,MATCH(A51,'Trade Log'!$A$5:$A$204,0))*I51/INDEX('Trade Log'!$O$5:$O$204,MATCH(A51,'Trade Log'!$A$5:$A$204,0)),0)),"")</f>
        <v/>
      </c>
      <c r="R51" s="10"/>
    </row>
    <row r="52" spans="1:18">
      <c r="A52" s="2"/>
      <c r="B52" s="4" t="str">
        <f>IF(A52="","",COUNTIF($A$5:A52,A52))</f>
        <v/>
      </c>
      <c r="C52" s="3"/>
      <c r="D52" s="4" t="str">
        <f t="shared" si="3"/>
        <v/>
      </c>
      <c r="E52" s="5"/>
      <c r="F52" s="2"/>
      <c r="G52" s="4" t="str">
        <f>IFERROR(INDEX('Trade Log'!$F$5:$F$204,MATCH(A52,'Trade Log'!$A$5:$A$204,0)),"")</f>
        <v/>
      </c>
      <c r="H52" s="4" t="str">
        <f>IFERROR(INDEX('Trade Log'!$I$5:$I$204,MATCH(A52,'Trade Log'!$A$5:$A$204,0)),"")</f>
        <v/>
      </c>
      <c r="I52" s="7"/>
      <c r="J52" s="8"/>
      <c r="K52" s="8"/>
      <c r="L52" s="8"/>
      <c r="M52" s="2"/>
      <c r="N52" s="9" t="str">
        <f t="shared" si="1"/>
        <v/>
      </c>
      <c r="O52" s="9" t="str">
        <f t="shared" si="2"/>
        <v/>
      </c>
      <c r="P52" s="9" t="str">
        <f>IF(A52="","",O52-(I52*INDEX('Trade Log'!$P$5:$P$204,MATCH(A52,'Trade Log'!$A$5:$A$204,0))*100)-IFERROR(INDEX('Trade Log'!$Q$5:$Q$204,MATCH(A52,'Trade Log'!$A$5:$A$204,0))*I52/INDEX('Trade Log'!$O$5:$O$204,MATCH(A52,'Trade Log'!$A$5:$A$204,0)),0))</f>
        <v/>
      </c>
      <c r="Q52" s="12" t="str">
        <f>IFERROR(P52/(I52*INDEX('Trade Log'!$P$5:$P$204,MATCH(A52,'Trade Log'!$A$5:$A$204,0))*100+IFERROR(INDEX('Trade Log'!$Q$5:$Q$204,MATCH(A52,'Trade Log'!$A$5:$A$204,0))*I52/INDEX('Trade Log'!$O$5:$O$204,MATCH(A52,'Trade Log'!$A$5:$A$204,0)),0)),"")</f>
        <v/>
      </c>
      <c r="R52" s="10"/>
    </row>
    <row r="53" spans="1:18">
      <c r="A53" s="2"/>
      <c r="B53" s="4" t="str">
        <f>IF(A53="","",COUNTIF($A$5:A53,A53))</f>
        <v/>
      </c>
      <c r="C53" s="3"/>
      <c r="D53" s="4" t="str">
        <f t="shared" si="3"/>
        <v/>
      </c>
      <c r="E53" s="5"/>
      <c r="F53" s="2"/>
      <c r="G53" s="4" t="str">
        <f>IFERROR(INDEX('Trade Log'!$F$5:$F$204,MATCH(A53,'Trade Log'!$A$5:$A$204,0)),"")</f>
        <v/>
      </c>
      <c r="H53" s="4" t="str">
        <f>IFERROR(INDEX('Trade Log'!$I$5:$I$204,MATCH(A53,'Trade Log'!$A$5:$A$204,0)),"")</f>
        <v/>
      </c>
      <c r="I53" s="7"/>
      <c r="J53" s="8"/>
      <c r="K53" s="8"/>
      <c r="L53" s="8"/>
      <c r="M53" s="2"/>
      <c r="N53" s="9" t="str">
        <f t="shared" si="1"/>
        <v/>
      </c>
      <c r="O53" s="9" t="str">
        <f t="shared" si="2"/>
        <v/>
      </c>
      <c r="P53" s="9" t="str">
        <f>IF(A53="","",O53-(I53*INDEX('Trade Log'!$P$5:$P$204,MATCH(A53,'Trade Log'!$A$5:$A$204,0))*100)-IFERROR(INDEX('Trade Log'!$Q$5:$Q$204,MATCH(A53,'Trade Log'!$A$5:$A$204,0))*I53/INDEX('Trade Log'!$O$5:$O$204,MATCH(A53,'Trade Log'!$A$5:$A$204,0)),0))</f>
        <v/>
      </c>
      <c r="Q53" s="12" t="str">
        <f>IFERROR(P53/(I53*INDEX('Trade Log'!$P$5:$P$204,MATCH(A53,'Trade Log'!$A$5:$A$204,0))*100+IFERROR(INDEX('Trade Log'!$Q$5:$Q$204,MATCH(A53,'Trade Log'!$A$5:$A$204,0))*I53/INDEX('Trade Log'!$O$5:$O$204,MATCH(A53,'Trade Log'!$A$5:$A$204,0)),0)),"")</f>
        <v/>
      </c>
      <c r="R53" s="10"/>
    </row>
    <row r="54" spans="1:18">
      <c r="A54" s="2"/>
      <c r="B54" s="4" t="str">
        <f>IF(A54="","",COUNTIF($A$5:A54,A54))</f>
        <v/>
      </c>
      <c r="C54" s="3"/>
      <c r="D54" s="4" t="str">
        <f t="shared" si="3"/>
        <v/>
      </c>
      <c r="E54" s="5"/>
      <c r="F54" s="2"/>
      <c r="G54" s="4" t="str">
        <f>IFERROR(INDEX('Trade Log'!$F$5:$F$204,MATCH(A54,'Trade Log'!$A$5:$A$204,0)),"")</f>
        <v/>
      </c>
      <c r="H54" s="4" t="str">
        <f>IFERROR(INDEX('Trade Log'!$I$5:$I$204,MATCH(A54,'Trade Log'!$A$5:$A$204,0)),"")</f>
        <v/>
      </c>
      <c r="I54" s="7"/>
      <c r="J54" s="8"/>
      <c r="K54" s="8"/>
      <c r="L54" s="8"/>
      <c r="M54" s="2"/>
      <c r="N54" s="9" t="str">
        <f t="shared" si="1"/>
        <v/>
      </c>
      <c r="O54" s="9" t="str">
        <f t="shared" si="2"/>
        <v/>
      </c>
      <c r="P54" s="9" t="str">
        <f>IF(A54="","",O54-(I54*INDEX('Trade Log'!$P$5:$P$204,MATCH(A54,'Trade Log'!$A$5:$A$204,0))*100)-IFERROR(INDEX('Trade Log'!$Q$5:$Q$204,MATCH(A54,'Trade Log'!$A$5:$A$204,0))*I54/INDEX('Trade Log'!$O$5:$O$204,MATCH(A54,'Trade Log'!$A$5:$A$204,0)),0))</f>
        <v/>
      </c>
      <c r="Q54" s="12" t="str">
        <f>IFERROR(P54/(I54*INDEX('Trade Log'!$P$5:$P$204,MATCH(A54,'Trade Log'!$A$5:$A$204,0))*100+IFERROR(INDEX('Trade Log'!$Q$5:$Q$204,MATCH(A54,'Trade Log'!$A$5:$A$204,0))*I54/INDEX('Trade Log'!$O$5:$O$204,MATCH(A54,'Trade Log'!$A$5:$A$204,0)),0)),"")</f>
        <v/>
      </c>
      <c r="R54" s="10"/>
    </row>
    <row r="55" spans="1:18">
      <c r="A55" s="2"/>
      <c r="B55" s="4" t="str">
        <f>IF(A55="","",COUNTIF($A$5:A55,A55))</f>
        <v/>
      </c>
      <c r="C55" s="3"/>
      <c r="D55" s="4" t="str">
        <f t="shared" si="3"/>
        <v/>
      </c>
      <c r="E55" s="5"/>
      <c r="F55" s="2"/>
      <c r="G55" s="4" t="str">
        <f>IFERROR(INDEX('Trade Log'!$F$5:$F$204,MATCH(A55,'Trade Log'!$A$5:$A$204,0)),"")</f>
        <v/>
      </c>
      <c r="H55" s="4" t="str">
        <f>IFERROR(INDEX('Trade Log'!$I$5:$I$204,MATCH(A55,'Trade Log'!$A$5:$A$204,0)),"")</f>
        <v/>
      </c>
      <c r="I55" s="7"/>
      <c r="J55" s="8"/>
      <c r="K55" s="8"/>
      <c r="L55" s="8"/>
      <c r="M55" s="2"/>
      <c r="N55" s="9" t="str">
        <f t="shared" si="1"/>
        <v/>
      </c>
      <c r="O55" s="9" t="str">
        <f t="shared" si="2"/>
        <v/>
      </c>
      <c r="P55" s="9" t="str">
        <f>IF(A55="","",O55-(I55*INDEX('Trade Log'!$P$5:$P$204,MATCH(A55,'Trade Log'!$A$5:$A$204,0))*100)-IFERROR(INDEX('Trade Log'!$Q$5:$Q$204,MATCH(A55,'Trade Log'!$A$5:$A$204,0))*I55/INDEX('Trade Log'!$O$5:$O$204,MATCH(A55,'Trade Log'!$A$5:$A$204,0)),0))</f>
        <v/>
      </c>
      <c r="Q55" s="12" t="str">
        <f>IFERROR(P55/(I55*INDEX('Trade Log'!$P$5:$P$204,MATCH(A55,'Trade Log'!$A$5:$A$204,0))*100+IFERROR(INDEX('Trade Log'!$Q$5:$Q$204,MATCH(A55,'Trade Log'!$A$5:$A$204,0))*I55/INDEX('Trade Log'!$O$5:$O$204,MATCH(A55,'Trade Log'!$A$5:$A$204,0)),0)),"")</f>
        <v/>
      </c>
      <c r="R55" s="10"/>
    </row>
    <row r="56" spans="1:18">
      <c r="A56" s="2"/>
      <c r="B56" s="4" t="str">
        <f>IF(A56="","",COUNTIF($A$5:A56,A56))</f>
        <v/>
      </c>
      <c r="C56" s="3"/>
      <c r="D56" s="4" t="str">
        <f t="shared" si="3"/>
        <v/>
      </c>
      <c r="E56" s="5"/>
      <c r="F56" s="2"/>
      <c r="G56" s="4" t="str">
        <f>IFERROR(INDEX('Trade Log'!$F$5:$F$204,MATCH(A56,'Trade Log'!$A$5:$A$204,0)),"")</f>
        <v/>
      </c>
      <c r="H56" s="4" t="str">
        <f>IFERROR(INDEX('Trade Log'!$I$5:$I$204,MATCH(A56,'Trade Log'!$A$5:$A$204,0)),"")</f>
        <v/>
      </c>
      <c r="I56" s="7"/>
      <c r="J56" s="8"/>
      <c r="K56" s="8"/>
      <c r="L56" s="8"/>
      <c r="M56" s="2"/>
      <c r="N56" s="9" t="str">
        <f t="shared" si="1"/>
        <v/>
      </c>
      <c r="O56" s="9" t="str">
        <f t="shared" si="2"/>
        <v/>
      </c>
      <c r="P56" s="9" t="str">
        <f>IF(A56="","",O56-(I56*INDEX('Trade Log'!$P$5:$P$204,MATCH(A56,'Trade Log'!$A$5:$A$204,0))*100)-IFERROR(INDEX('Trade Log'!$Q$5:$Q$204,MATCH(A56,'Trade Log'!$A$5:$A$204,0))*I56/INDEX('Trade Log'!$O$5:$O$204,MATCH(A56,'Trade Log'!$A$5:$A$204,0)),0))</f>
        <v/>
      </c>
      <c r="Q56" s="12" t="str">
        <f>IFERROR(P56/(I56*INDEX('Trade Log'!$P$5:$P$204,MATCH(A56,'Trade Log'!$A$5:$A$204,0))*100+IFERROR(INDEX('Trade Log'!$Q$5:$Q$204,MATCH(A56,'Trade Log'!$A$5:$A$204,0))*I56/INDEX('Trade Log'!$O$5:$O$204,MATCH(A56,'Trade Log'!$A$5:$A$204,0)),0)),"")</f>
        <v/>
      </c>
      <c r="R56" s="10"/>
    </row>
    <row r="57" spans="1:18">
      <c r="A57" s="2"/>
      <c r="B57" s="4" t="str">
        <f>IF(A57="","",COUNTIF($A$5:A57,A57))</f>
        <v/>
      </c>
      <c r="C57" s="3"/>
      <c r="D57" s="4" t="str">
        <f t="shared" si="3"/>
        <v/>
      </c>
      <c r="E57" s="5"/>
      <c r="F57" s="2"/>
      <c r="G57" s="4" t="str">
        <f>IFERROR(INDEX('Trade Log'!$F$5:$F$204,MATCH(A57,'Trade Log'!$A$5:$A$204,0)),"")</f>
        <v/>
      </c>
      <c r="H57" s="4" t="str">
        <f>IFERROR(INDEX('Trade Log'!$I$5:$I$204,MATCH(A57,'Trade Log'!$A$5:$A$204,0)),"")</f>
        <v/>
      </c>
      <c r="I57" s="7"/>
      <c r="J57" s="8"/>
      <c r="K57" s="8"/>
      <c r="L57" s="8"/>
      <c r="M57" s="2"/>
      <c r="N57" s="9" t="str">
        <f t="shared" si="1"/>
        <v/>
      </c>
      <c r="O57" s="9" t="str">
        <f t="shared" si="2"/>
        <v/>
      </c>
      <c r="P57" s="9" t="str">
        <f>IF(A57="","",O57-(I57*INDEX('Trade Log'!$P$5:$P$204,MATCH(A57,'Trade Log'!$A$5:$A$204,0))*100)-IFERROR(INDEX('Trade Log'!$Q$5:$Q$204,MATCH(A57,'Trade Log'!$A$5:$A$204,0))*I57/INDEX('Trade Log'!$O$5:$O$204,MATCH(A57,'Trade Log'!$A$5:$A$204,0)),0))</f>
        <v/>
      </c>
      <c r="Q57" s="12" t="str">
        <f>IFERROR(P57/(I57*INDEX('Trade Log'!$P$5:$P$204,MATCH(A57,'Trade Log'!$A$5:$A$204,0))*100+IFERROR(INDEX('Trade Log'!$Q$5:$Q$204,MATCH(A57,'Trade Log'!$A$5:$A$204,0))*I57/INDEX('Trade Log'!$O$5:$O$204,MATCH(A57,'Trade Log'!$A$5:$A$204,0)),0)),"")</f>
        <v/>
      </c>
      <c r="R57" s="10"/>
    </row>
    <row r="58" spans="1:18">
      <c r="A58" s="2"/>
      <c r="B58" s="4" t="str">
        <f>IF(A58="","",COUNTIF($A$5:A58,A58))</f>
        <v/>
      </c>
      <c r="C58" s="3"/>
      <c r="D58" s="4" t="str">
        <f t="shared" si="3"/>
        <v/>
      </c>
      <c r="E58" s="5"/>
      <c r="F58" s="2"/>
      <c r="G58" s="4" t="str">
        <f>IFERROR(INDEX('Trade Log'!$F$5:$F$204,MATCH(A58,'Trade Log'!$A$5:$A$204,0)),"")</f>
        <v/>
      </c>
      <c r="H58" s="4" t="str">
        <f>IFERROR(INDEX('Trade Log'!$I$5:$I$204,MATCH(A58,'Trade Log'!$A$5:$A$204,0)),"")</f>
        <v/>
      </c>
      <c r="I58" s="7"/>
      <c r="J58" s="8"/>
      <c r="K58" s="8"/>
      <c r="L58" s="8"/>
      <c r="M58" s="2"/>
      <c r="N58" s="9" t="str">
        <f t="shared" si="1"/>
        <v/>
      </c>
      <c r="O58" s="9" t="str">
        <f t="shared" si="2"/>
        <v/>
      </c>
      <c r="P58" s="9" t="str">
        <f>IF(A58="","",O58-(I58*INDEX('Trade Log'!$P$5:$P$204,MATCH(A58,'Trade Log'!$A$5:$A$204,0))*100)-IFERROR(INDEX('Trade Log'!$Q$5:$Q$204,MATCH(A58,'Trade Log'!$A$5:$A$204,0))*I58/INDEX('Trade Log'!$O$5:$O$204,MATCH(A58,'Trade Log'!$A$5:$A$204,0)),0))</f>
        <v/>
      </c>
      <c r="Q58" s="12" t="str">
        <f>IFERROR(P58/(I58*INDEX('Trade Log'!$P$5:$P$204,MATCH(A58,'Trade Log'!$A$5:$A$204,0))*100+IFERROR(INDEX('Trade Log'!$Q$5:$Q$204,MATCH(A58,'Trade Log'!$A$5:$A$204,0))*I58/INDEX('Trade Log'!$O$5:$O$204,MATCH(A58,'Trade Log'!$A$5:$A$204,0)),0)),"")</f>
        <v/>
      </c>
      <c r="R58" s="10"/>
    </row>
    <row r="59" spans="1:18">
      <c r="A59" s="2"/>
      <c r="B59" s="4" t="str">
        <f>IF(A59="","",COUNTIF($A$5:A59,A59))</f>
        <v/>
      </c>
      <c r="C59" s="3"/>
      <c r="D59" s="4" t="str">
        <f t="shared" si="3"/>
        <v/>
      </c>
      <c r="E59" s="5"/>
      <c r="F59" s="2"/>
      <c r="G59" s="4" t="str">
        <f>IFERROR(INDEX('Trade Log'!$F$5:$F$204,MATCH(A59,'Trade Log'!$A$5:$A$204,0)),"")</f>
        <v/>
      </c>
      <c r="H59" s="4" t="str">
        <f>IFERROR(INDEX('Trade Log'!$I$5:$I$204,MATCH(A59,'Trade Log'!$A$5:$A$204,0)),"")</f>
        <v/>
      </c>
      <c r="I59" s="7"/>
      <c r="J59" s="8"/>
      <c r="K59" s="8"/>
      <c r="L59" s="8"/>
      <c r="M59" s="2"/>
      <c r="N59" s="9" t="str">
        <f t="shared" si="1"/>
        <v/>
      </c>
      <c r="O59" s="9" t="str">
        <f t="shared" si="2"/>
        <v/>
      </c>
      <c r="P59" s="9" t="str">
        <f>IF(A59="","",O59-(I59*INDEX('Trade Log'!$P$5:$P$204,MATCH(A59,'Trade Log'!$A$5:$A$204,0))*100)-IFERROR(INDEX('Trade Log'!$Q$5:$Q$204,MATCH(A59,'Trade Log'!$A$5:$A$204,0))*I59/INDEX('Trade Log'!$O$5:$O$204,MATCH(A59,'Trade Log'!$A$5:$A$204,0)),0))</f>
        <v/>
      </c>
      <c r="Q59" s="12" t="str">
        <f>IFERROR(P59/(I59*INDEX('Trade Log'!$P$5:$P$204,MATCH(A59,'Trade Log'!$A$5:$A$204,0))*100+IFERROR(INDEX('Trade Log'!$Q$5:$Q$204,MATCH(A59,'Trade Log'!$A$5:$A$204,0))*I59/INDEX('Trade Log'!$O$5:$O$204,MATCH(A59,'Trade Log'!$A$5:$A$204,0)),0)),"")</f>
        <v/>
      </c>
      <c r="R59" s="10"/>
    </row>
    <row r="60" spans="1:18">
      <c r="A60" s="2"/>
      <c r="B60" s="4" t="str">
        <f>IF(A60="","",COUNTIF($A$5:A60,A60))</f>
        <v/>
      </c>
      <c r="C60" s="3"/>
      <c r="D60" s="4" t="str">
        <f t="shared" si="3"/>
        <v/>
      </c>
      <c r="E60" s="5"/>
      <c r="F60" s="2"/>
      <c r="G60" s="4" t="str">
        <f>IFERROR(INDEX('Trade Log'!$F$5:$F$204,MATCH(A60,'Trade Log'!$A$5:$A$204,0)),"")</f>
        <v/>
      </c>
      <c r="H60" s="4" t="str">
        <f>IFERROR(INDEX('Trade Log'!$I$5:$I$204,MATCH(A60,'Trade Log'!$A$5:$A$204,0)),"")</f>
        <v/>
      </c>
      <c r="I60" s="7"/>
      <c r="J60" s="8"/>
      <c r="K60" s="8"/>
      <c r="L60" s="8"/>
      <c r="M60" s="2"/>
      <c r="N60" s="9" t="str">
        <f t="shared" si="1"/>
        <v/>
      </c>
      <c r="O60" s="9" t="str">
        <f t="shared" si="2"/>
        <v/>
      </c>
      <c r="P60" s="9" t="str">
        <f>IF(A60="","",O60-(I60*INDEX('Trade Log'!$P$5:$P$204,MATCH(A60,'Trade Log'!$A$5:$A$204,0))*100)-IFERROR(INDEX('Trade Log'!$Q$5:$Q$204,MATCH(A60,'Trade Log'!$A$5:$A$204,0))*I60/INDEX('Trade Log'!$O$5:$O$204,MATCH(A60,'Trade Log'!$A$5:$A$204,0)),0))</f>
        <v/>
      </c>
      <c r="Q60" s="12" t="str">
        <f>IFERROR(P60/(I60*INDEX('Trade Log'!$P$5:$P$204,MATCH(A60,'Trade Log'!$A$5:$A$204,0))*100+IFERROR(INDEX('Trade Log'!$Q$5:$Q$204,MATCH(A60,'Trade Log'!$A$5:$A$204,0))*I60/INDEX('Trade Log'!$O$5:$O$204,MATCH(A60,'Trade Log'!$A$5:$A$204,0)),0)),"")</f>
        <v/>
      </c>
      <c r="R60" s="10"/>
    </row>
    <row r="61" spans="1:18">
      <c r="A61" s="2"/>
      <c r="B61" s="4" t="str">
        <f>IF(A61="","",COUNTIF($A$5:A61,A61))</f>
        <v/>
      </c>
      <c r="C61" s="3"/>
      <c r="D61" s="4" t="str">
        <f t="shared" si="3"/>
        <v/>
      </c>
      <c r="E61" s="5"/>
      <c r="F61" s="2"/>
      <c r="G61" s="4" t="str">
        <f>IFERROR(INDEX('Trade Log'!$F$5:$F$204,MATCH(A61,'Trade Log'!$A$5:$A$204,0)),"")</f>
        <v/>
      </c>
      <c r="H61" s="4" t="str">
        <f>IFERROR(INDEX('Trade Log'!$I$5:$I$204,MATCH(A61,'Trade Log'!$A$5:$A$204,0)),"")</f>
        <v/>
      </c>
      <c r="I61" s="7"/>
      <c r="J61" s="8"/>
      <c r="K61" s="8"/>
      <c r="L61" s="8"/>
      <c r="M61" s="2"/>
      <c r="N61" s="9" t="str">
        <f t="shared" si="1"/>
        <v/>
      </c>
      <c r="O61" s="9" t="str">
        <f t="shared" si="2"/>
        <v/>
      </c>
      <c r="P61" s="9" t="str">
        <f>IF(A61="","",O61-(I61*INDEX('Trade Log'!$P$5:$P$204,MATCH(A61,'Trade Log'!$A$5:$A$204,0))*100)-IFERROR(INDEX('Trade Log'!$Q$5:$Q$204,MATCH(A61,'Trade Log'!$A$5:$A$204,0))*I61/INDEX('Trade Log'!$O$5:$O$204,MATCH(A61,'Trade Log'!$A$5:$A$204,0)),0))</f>
        <v/>
      </c>
      <c r="Q61" s="12" t="str">
        <f>IFERROR(P61/(I61*INDEX('Trade Log'!$P$5:$P$204,MATCH(A61,'Trade Log'!$A$5:$A$204,0))*100+IFERROR(INDEX('Trade Log'!$Q$5:$Q$204,MATCH(A61,'Trade Log'!$A$5:$A$204,0))*I61/INDEX('Trade Log'!$O$5:$O$204,MATCH(A61,'Trade Log'!$A$5:$A$204,0)),0)),"")</f>
        <v/>
      </c>
      <c r="R61" s="10"/>
    </row>
    <row r="62" spans="1:18">
      <c r="A62" s="2"/>
      <c r="B62" s="4" t="str">
        <f>IF(A62="","",COUNTIF($A$5:A62,A62))</f>
        <v/>
      </c>
      <c r="C62" s="3"/>
      <c r="D62" s="4" t="str">
        <f t="shared" si="3"/>
        <v/>
      </c>
      <c r="E62" s="5"/>
      <c r="F62" s="2"/>
      <c r="G62" s="4" t="str">
        <f>IFERROR(INDEX('Trade Log'!$F$5:$F$204,MATCH(A62,'Trade Log'!$A$5:$A$204,0)),"")</f>
        <v/>
      </c>
      <c r="H62" s="4" t="str">
        <f>IFERROR(INDEX('Trade Log'!$I$5:$I$204,MATCH(A62,'Trade Log'!$A$5:$A$204,0)),"")</f>
        <v/>
      </c>
      <c r="I62" s="7"/>
      <c r="J62" s="8"/>
      <c r="K62" s="8"/>
      <c r="L62" s="8"/>
      <c r="M62" s="2"/>
      <c r="N62" s="9" t="str">
        <f t="shared" si="1"/>
        <v/>
      </c>
      <c r="O62" s="9" t="str">
        <f t="shared" si="2"/>
        <v/>
      </c>
      <c r="P62" s="9" t="str">
        <f>IF(A62="","",O62-(I62*INDEX('Trade Log'!$P$5:$P$204,MATCH(A62,'Trade Log'!$A$5:$A$204,0))*100)-IFERROR(INDEX('Trade Log'!$Q$5:$Q$204,MATCH(A62,'Trade Log'!$A$5:$A$204,0))*I62/INDEX('Trade Log'!$O$5:$O$204,MATCH(A62,'Trade Log'!$A$5:$A$204,0)),0))</f>
        <v/>
      </c>
      <c r="Q62" s="12" t="str">
        <f>IFERROR(P62/(I62*INDEX('Trade Log'!$P$5:$P$204,MATCH(A62,'Trade Log'!$A$5:$A$204,0))*100+IFERROR(INDEX('Trade Log'!$Q$5:$Q$204,MATCH(A62,'Trade Log'!$A$5:$A$204,0))*I62/INDEX('Trade Log'!$O$5:$O$204,MATCH(A62,'Trade Log'!$A$5:$A$204,0)),0)),"")</f>
        <v/>
      </c>
      <c r="R62" s="10"/>
    </row>
    <row r="63" spans="1:18">
      <c r="A63" s="2"/>
      <c r="B63" s="4" t="str">
        <f>IF(A63="","",COUNTIF($A$5:A63,A63))</f>
        <v/>
      </c>
      <c r="C63" s="3"/>
      <c r="D63" s="4" t="str">
        <f t="shared" si="3"/>
        <v/>
      </c>
      <c r="E63" s="5"/>
      <c r="F63" s="2"/>
      <c r="G63" s="4" t="str">
        <f>IFERROR(INDEX('Trade Log'!$F$5:$F$204,MATCH(A63,'Trade Log'!$A$5:$A$204,0)),"")</f>
        <v/>
      </c>
      <c r="H63" s="4" t="str">
        <f>IFERROR(INDEX('Trade Log'!$I$5:$I$204,MATCH(A63,'Trade Log'!$A$5:$A$204,0)),"")</f>
        <v/>
      </c>
      <c r="I63" s="7"/>
      <c r="J63" s="8"/>
      <c r="K63" s="8"/>
      <c r="L63" s="8"/>
      <c r="M63" s="2"/>
      <c r="N63" s="9" t="str">
        <f t="shared" si="1"/>
        <v/>
      </c>
      <c r="O63" s="9" t="str">
        <f t="shared" si="2"/>
        <v/>
      </c>
      <c r="P63" s="9" t="str">
        <f>IF(A63="","",O63-(I63*INDEX('Trade Log'!$P$5:$P$204,MATCH(A63,'Trade Log'!$A$5:$A$204,0))*100)-IFERROR(INDEX('Trade Log'!$Q$5:$Q$204,MATCH(A63,'Trade Log'!$A$5:$A$204,0))*I63/INDEX('Trade Log'!$O$5:$O$204,MATCH(A63,'Trade Log'!$A$5:$A$204,0)),0))</f>
        <v/>
      </c>
      <c r="Q63" s="12" t="str">
        <f>IFERROR(P63/(I63*INDEX('Trade Log'!$P$5:$P$204,MATCH(A63,'Trade Log'!$A$5:$A$204,0))*100+IFERROR(INDEX('Trade Log'!$Q$5:$Q$204,MATCH(A63,'Trade Log'!$A$5:$A$204,0))*I63/INDEX('Trade Log'!$O$5:$O$204,MATCH(A63,'Trade Log'!$A$5:$A$204,0)),0)),"")</f>
        <v/>
      </c>
      <c r="R63" s="10"/>
    </row>
    <row r="64" spans="1:18">
      <c r="A64" s="2"/>
      <c r="B64" s="4" t="str">
        <f>IF(A64="","",COUNTIF($A$5:A64,A64))</f>
        <v/>
      </c>
      <c r="C64" s="3"/>
      <c r="D64" s="4" t="str">
        <f t="shared" si="3"/>
        <v/>
      </c>
      <c r="E64" s="5"/>
      <c r="F64" s="2"/>
      <c r="G64" s="4" t="str">
        <f>IFERROR(INDEX('Trade Log'!$F$5:$F$204,MATCH(A64,'Trade Log'!$A$5:$A$204,0)),"")</f>
        <v/>
      </c>
      <c r="H64" s="4" t="str">
        <f>IFERROR(INDEX('Trade Log'!$I$5:$I$204,MATCH(A64,'Trade Log'!$A$5:$A$204,0)),"")</f>
        <v/>
      </c>
      <c r="I64" s="7"/>
      <c r="J64" s="8"/>
      <c r="K64" s="8"/>
      <c r="L64" s="8"/>
      <c r="M64" s="2"/>
      <c r="N64" s="9" t="str">
        <f t="shared" si="1"/>
        <v/>
      </c>
      <c r="O64" s="9" t="str">
        <f t="shared" si="2"/>
        <v/>
      </c>
      <c r="P64" s="9" t="str">
        <f>IF(A64="","",O64-(I64*INDEX('Trade Log'!$P$5:$P$204,MATCH(A64,'Trade Log'!$A$5:$A$204,0))*100)-IFERROR(INDEX('Trade Log'!$Q$5:$Q$204,MATCH(A64,'Trade Log'!$A$5:$A$204,0))*I64/INDEX('Trade Log'!$O$5:$O$204,MATCH(A64,'Trade Log'!$A$5:$A$204,0)),0))</f>
        <v/>
      </c>
      <c r="Q64" s="12" t="str">
        <f>IFERROR(P64/(I64*INDEX('Trade Log'!$P$5:$P$204,MATCH(A64,'Trade Log'!$A$5:$A$204,0))*100+IFERROR(INDEX('Trade Log'!$Q$5:$Q$204,MATCH(A64,'Trade Log'!$A$5:$A$204,0))*I64/INDEX('Trade Log'!$O$5:$O$204,MATCH(A64,'Trade Log'!$A$5:$A$204,0)),0)),"")</f>
        <v/>
      </c>
      <c r="R64" s="10"/>
    </row>
    <row r="65" spans="1:18">
      <c r="A65" s="2"/>
      <c r="B65" s="4" t="str">
        <f>IF(A65="","",COUNTIF($A$5:A65,A65))</f>
        <v/>
      </c>
      <c r="C65" s="3"/>
      <c r="D65" s="4" t="str">
        <f t="shared" si="3"/>
        <v/>
      </c>
      <c r="E65" s="5"/>
      <c r="F65" s="2"/>
      <c r="G65" s="4" t="str">
        <f>IFERROR(INDEX('Trade Log'!$F$5:$F$204,MATCH(A65,'Trade Log'!$A$5:$A$204,0)),"")</f>
        <v/>
      </c>
      <c r="H65" s="4" t="str">
        <f>IFERROR(INDEX('Trade Log'!$I$5:$I$204,MATCH(A65,'Trade Log'!$A$5:$A$204,0)),"")</f>
        <v/>
      </c>
      <c r="I65" s="7"/>
      <c r="J65" s="8"/>
      <c r="K65" s="8"/>
      <c r="L65" s="8"/>
      <c r="M65" s="2"/>
      <c r="N65" s="9" t="str">
        <f t="shared" si="1"/>
        <v/>
      </c>
      <c r="O65" s="9" t="str">
        <f t="shared" si="2"/>
        <v/>
      </c>
      <c r="P65" s="9" t="str">
        <f>IF(A65="","",O65-(I65*INDEX('Trade Log'!$P$5:$P$204,MATCH(A65,'Trade Log'!$A$5:$A$204,0))*100)-IFERROR(INDEX('Trade Log'!$Q$5:$Q$204,MATCH(A65,'Trade Log'!$A$5:$A$204,0))*I65/INDEX('Trade Log'!$O$5:$O$204,MATCH(A65,'Trade Log'!$A$5:$A$204,0)),0))</f>
        <v/>
      </c>
      <c r="Q65" s="12" t="str">
        <f>IFERROR(P65/(I65*INDEX('Trade Log'!$P$5:$P$204,MATCH(A65,'Trade Log'!$A$5:$A$204,0))*100+IFERROR(INDEX('Trade Log'!$Q$5:$Q$204,MATCH(A65,'Trade Log'!$A$5:$A$204,0))*I65/INDEX('Trade Log'!$O$5:$O$204,MATCH(A65,'Trade Log'!$A$5:$A$204,0)),0)),"")</f>
        <v/>
      </c>
      <c r="R65" s="10"/>
    </row>
    <row r="66" spans="1:18">
      <c r="A66" s="2"/>
      <c r="B66" s="4" t="str">
        <f>IF(A66="","",COUNTIF($A$5:A66,A66))</f>
        <v/>
      </c>
      <c r="C66" s="3"/>
      <c r="D66" s="4" t="str">
        <f t="shared" si="3"/>
        <v/>
      </c>
      <c r="E66" s="5"/>
      <c r="F66" s="2"/>
      <c r="G66" s="4" t="str">
        <f>IFERROR(INDEX('Trade Log'!$F$5:$F$204,MATCH(A66,'Trade Log'!$A$5:$A$204,0)),"")</f>
        <v/>
      </c>
      <c r="H66" s="4" t="str">
        <f>IFERROR(INDEX('Trade Log'!$I$5:$I$204,MATCH(A66,'Trade Log'!$A$5:$A$204,0)),"")</f>
        <v/>
      </c>
      <c r="I66" s="7"/>
      <c r="J66" s="8"/>
      <c r="K66" s="8"/>
      <c r="L66" s="8"/>
      <c r="M66" s="2"/>
      <c r="N66" s="9" t="str">
        <f t="shared" si="1"/>
        <v/>
      </c>
      <c r="O66" s="9" t="str">
        <f t="shared" si="2"/>
        <v/>
      </c>
      <c r="P66" s="9" t="str">
        <f>IF(A66="","",O66-(I66*INDEX('Trade Log'!$P$5:$P$204,MATCH(A66,'Trade Log'!$A$5:$A$204,0))*100)-IFERROR(INDEX('Trade Log'!$Q$5:$Q$204,MATCH(A66,'Trade Log'!$A$5:$A$204,0))*I66/INDEX('Trade Log'!$O$5:$O$204,MATCH(A66,'Trade Log'!$A$5:$A$204,0)),0))</f>
        <v/>
      </c>
      <c r="Q66" s="12" t="str">
        <f>IFERROR(P66/(I66*INDEX('Trade Log'!$P$5:$P$204,MATCH(A66,'Trade Log'!$A$5:$A$204,0))*100+IFERROR(INDEX('Trade Log'!$Q$5:$Q$204,MATCH(A66,'Trade Log'!$A$5:$A$204,0))*I66/INDEX('Trade Log'!$O$5:$O$204,MATCH(A66,'Trade Log'!$A$5:$A$204,0)),0)),"")</f>
        <v/>
      </c>
      <c r="R66" s="10"/>
    </row>
    <row r="67" spans="1:18">
      <c r="A67" s="2"/>
      <c r="B67" s="4" t="str">
        <f>IF(A67="","",COUNTIF($A$5:A67,A67))</f>
        <v/>
      </c>
      <c r="C67" s="3"/>
      <c r="D67" s="4" t="str">
        <f t="shared" si="3"/>
        <v/>
      </c>
      <c r="E67" s="5"/>
      <c r="F67" s="2"/>
      <c r="G67" s="4" t="str">
        <f>IFERROR(INDEX('Trade Log'!$F$5:$F$204,MATCH(A67,'Trade Log'!$A$5:$A$204,0)),"")</f>
        <v/>
      </c>
      <c r="H67" s="4" t="str">
        <f>IFERROR(INDEX('Trade Log'!$I$5:$I$204,MATCH(A67,'Trade Log'!$A$5:$A$204,0)),"")</f>
        <v/>
      </c>
      <c r="I67" s="7"/>
      <c r="J67" s="8"/>
      <c r="K67" s="8"/>
      <c r="L67" s="8"/>
      <c r="M67" s="2"/>
      <c r="N67" s="9" t="str">
        <f t="shared" si="1"/>
        <v/>
      </c>
      <c r="O67" s="9" t="str">
        <f t="shared" si="2"/>
        <v/>
      </c>
      <c r="P67" s="9" t="str">
        <f>IF(A67="","",O67-(I67*INDEX('Trade Log'!$P$5:$P$204,MATCH(A67,'Trade Log'!$A$5:$A$204,0))*100)-IFERROR(INDEX('Trade Log'!$Q$5:$Q$204,MATCH(A67,'Trade Log'!$A$5:$A$204,0))*I67/INDEX('Trade Log'!$O$5:$O$204,MATCH(A67,'Trade Log'!$A$5:$A$204,0)),0))</f>
        <v/>
      </c>
      <c r="Q67" s="12" t="str">
        <f>IFERROR(P67/(I67*INDEX('Trade Log'!$P$5:$P$204,MATCH(A67,'Trade Log'!$A$5:$A$204,0))*100+IFERROR(INDEX('Trade Log'!$Q$5:$Q$204,MATCH(A67,'Trade Log'!$A$5:$A$204,0))*I67/INDEX('Trade Log'!$O$5:$O$204,MATCH(A67,'Trade Log'!$A$5:$A$204,0)),0)),"")</f>
        <v/>
      </c>
      <c r="R67" s="10"/>
    </row>
    <row r="68" spans="1:18">
      <c r="A68" s="2"/>
      <c r="B68" s="4" t="str">
        <f>IF(A68="","",COUNTIF($A$5:A68,A68))</f>
        <v/>
      </c>
      <c r="C68" s="3"/>
      <c r="D68" s="4" t="str">
        <f t="shared" si="3"/>
        <v/>
      </c>
      <c r="E68" s="5"/>
      <c r="F68" s="2"/>
      <c r="G68" s="4" t="str">
        <f>IFERROR(INDEX('Trade Log'!$F$5:$F$204,MATCH(A68,'Trade Log'!$A$5:$A$204,0)),"")</f>
        <v/>
      </c>
      <c r="H68" s="4" t="str">
        <f>IFERROR(INDEX('Trade Log'!$I$5:$I$204,MATCH(A68,'Trade Log'!$A$5:$A$204,0)),"")</f>
        <v/>
      </c>
      <c r="I68" s="7"/>
      <c r="J68" s="8"/>
      <c r="K68" s="8"/>
      <c r="L68" s="8"/>
      <c r="M68" s="2"/>
      <c r="N68" s="9" t="str">
        <f t="shared" si="1"/>
        <v/>
      </c>
      <c r="O68" s="9" t="str">
        <f t="shared" si="2"/>
        <v/>
      </c>
      <c r="P68" s="9" t="str">
        <f>IF(A68="","",O68-(I68*INDEX('Trade Log'!$P$5:$P$204,MATCH(A68,'Trade Log'!$A$5:$A$204,0))*100)-IFERROR(INDEX('Trade Log'!$Q$5:$Q$204,MATCH(A68,'Trade Log'!$A$5:$A$204,0))*I68/INDEX('Trade Log'!$O$5:$O$204,MATCH(A68,'Trade Log'!$A$5:$A$204,0)),0))</f>
        <v/>
      </c>
      <c r="Q68" s="12" t="str">
        <f>IFERROR(P68/(I68*INDEX('Trade Log'!$P$5:$P$204,MATCH(A68,'Trade Log'!$A$5:$A$204,0))*100+IFERROR(INDEX('Trade Log'!$Q$5:$Q$204,MATCH(A68,'Trade Log'!$A$5:$A$204,0))*I68/INDEX('Trade Log'!$O$5:$O$204,MATCH(A68,'Trade Log'!$A$5:$A$204,0)),0)),"")</f>
        <v/>
      </c>
      <c r="R68" s="10"/>
    </row>
    <row r="69" spans="1:18">
      <c r="A69" s="2"/>
      <c r="B69" s="4" t="str">
        <f>IF(A69="","",COUNTIF($A$5:A69,A69))</f>
        <v/>
      </c>
      <c r="C69" s="3"/>
      <c r="D69" s="4" t="str">
        <f t="shared" ref="D69:D132" si="4">IF(C69="","",TEXT(C69,"dddd"))</f>
        <v/>
      </c>
      <c r="E69" s="5"/>
      <c r="F69" s="2"/>
      <c r="G69" s="4" t="str">
        <f>IFERROR(INDEX('Trade Log'!$F$5:$F$204,MATCH(A69,'Trade Log'!$A$5:$A$204,0)),"")</f>
        <v/>
      </c>
      <c r="H69" s="4" t="str">
        <f>IFERROR(INDEX('Trade Log'!$I$5:$I$204,MATCH(A69,'Trade Log'!$A$5:$A$204,0)),"")</f>
        <v/>
      </c>
      <c r="I69" s="7"/>
      <c r="J69" s="8"/>
      <c r="K69" s="8"/>
      <c r="L69" s="8"/>
      <c r="M69" s="2"/>
      <c r="N69" s="9" t="str">
        <f t="shared" ref="N69:N132" si="5">IF(OR(I69="",J69=""),"",I69*J69*100)</f>
        <v/>
      </c>
      <c r="O69" s="9" t="str">
        <f t="shared" ref="O69:O132" si="6">IF(N69="","",N69-IF(K69="",0,K69))</f>
        <v/>
      </c>
      <c r="P69" s="9" t="str">
        <f>IF(A69="","",O69-(I69*INDEX('Trade Log'!$P$5:$P$204,MATCH(A69,'Trade Log'!$A$5:$A$204,0))*100)-IFERROR(INDEX('Trade Log'!$Q$5:$Q$204,MATCH(A69,'Trade Log'!$A$5:$A$204,0))*I69/INDEX('Trade Log'!$O$5:$O$204,MATCH(A69,'Trade Log'!$A$5:$A$204,0)),0))</f>
        <v/>
      </c>
      <c r="Q69" s="12" t="str">
        <f>IFERROR(P69/(I69*INDEX('Trade Log'!$P$5:$P$204,MATCH(A69,'Trade Log'!$A$5:$A$204,0))*100+IFERROR(INDEX('Trade Log'!$Q$5:$Q$204,MATCH(A69,'Trade Log'!$A$5:$A$204,0))*I69/INDEX('Trade Log'!$O$5:$O$204,MATCH(A69,'Trade Log'!$A$5:$A$204,0)),0)),"")</f>
        <v/>
      </c>
      <c r="R69" s="10"/>
    </row>
    <row r="70" spans="1:18">
      <c r="A70" s="2"/>
      <c r="B70" s="4" t="str">
        <f>IF(A70="","",COUNTIF($A$5:A70,A70))</f>
        <v/>
      </c>
      <c r="C70" s="3"/>
      <c r="D70" s="4" t="str">
        <f t="shared" si="4"/>
        <v/>
      </c>
      <c r="E70" s="5"/>
      <c r="F70" s="2"/>
      <c r="G70" s="4" t="str">
        <f>IFERROR(INDEX('Trade Log'!$F$5:$F$204,MATCH(A70,'Trade Log'!$A$5:$A$204,0)),"")</f>
        <v/>
      </c>
      <c r="H70" s="4" t="str">
        <f>IFERROR(INDEX('Trade Log'!$I$5:$I$204,MATCH(A70,'Trade Log'!$A$5:$A$204,0)),"")</f>
        <v/>
      </c>
      <c r="I70" s="7"/>
      <c r="J70" s="8"/>
      <c r="K70" s="8"/>
      <c r="L70" s="8"/>
      <c r="M70" s="2"/>
      <c r="N70" s="9" t="str">
        <f t="shared" si="5"/>
        <v/>
      </c>
      <c r="O70" s="9" t="str">
        <f t="shared" si="6"/>
        <v/>
      </c>
      <c r="P70" s="9" t="str">
        <f>IF(A70="","",O70-(I70*INDEX('Trade Log'!$P$5:$P$204,MATCH(A70,'Trade Log'!$A$5:$A$204,0))*100)-IFERROR(INDEX('Trade Log'!$Q$5:$Q$204,MATCH(A70,'Trade Log'!$A$5:$A$204,0))*I70/INDEX('Trade Log'!$O$5:$O$204,MATCH(A70,'Trade Log'!$A$5:$A$204,0)),0))</f>
        <v/>
      </c>
      <c r="Q70" s="12" t="str">
        <f>IFERROR(P70/(I70*INDEX('Trade Log'!$P$5:$P$204,MATCH(A70,'Trade Log'!$A$5:$A$204,0))*100+IFERROR(INDEX('Trade Log'!$Q$5:$Q$204,MATCH(A70,'Trade Log'!$A$5:$A$204,0))*I70/INDEX('Trade Log'!$O$5:$O$204,MATCH(A70,'Trade Log'!$A$5:$A$204,0)),0)),"")</f>
        <v/>
      </c>
      <c r="R70" s="10"/>
    </row>
    <row r="71" spans="1:18">
      <c r="A71" s="2"/>
      <c r="B71" s="4" t="str">
        <f>IF(A71="","",COUNTIF($A$5:A71,A71))</f>
        <v/>
      </c>
      <c r="C71" s="3"/>
      <c r="D71" s="4" t="str">
        <f t="shared" si="4"/>
        <v/>
      </c>
      <c r="E71" s="5"/>
      <c r="F71" s="2"/>
      <c r="G71" s="4" t="str">
        <f>IFERROR(INDEX('Trade Log'!$F$5:$F$204,MATCH(A71,'Trade Log'!$A$5:$A$204,0)),"")</f>
        <v/>
      </c>
      <c r="H71" s="4" t="str">
        <f>IFERROR(INDEX('Trade Log'!$I$5:$I$204,MATCH(A71,'Trade Log'!$A$5:$A$204,0)),"")</f>
        <v/>
      </c>
      <c r="I71" s="7"/>
      <c r="J71" s="8"/>
      <c r="K71" s="8"/>
      <c r="L71" s="8"/>
      <c r="M71" s="2"/>
      <c r="N71" s="9" t="str">
        <f t="shared" si="5"/>
        <v/>
      </c>
      <c r="O71" s="9" t="str">
        <f t="shared" si="6"/>
        <v/>
      </c>
      <c r="P71" s="9" t="str">
        <f>IF(A71="","",O71-(I71*INDEX('Trade Log'!$P$5:$P$204,MATCH(A71,'Trade Log'!$A$5:$A$204,0))*100)-IFERROR(INDEX('Trade Log'!$Q$5:$Q$204,MATCH(A71,'Trade Log'!$A$5:$A$204,0))*I71/INDEX('Trade Log'!$O$5:$O$204,MATCH(A71,'Trade Log'!$A$5:$A$204,0)),0))</f>
        <v/>
      </c>
      <c r="Q71" s="12" t="str">
        <f>IFERROR(P71/(I71*INDEX('Trade Log'!$P$5:$P$204,MATCH(A71,'Trade Log'!$A$5:$A$204,0))*100+IFERROR(INDEX('Trade Log'!$Q$5:$Q$204,MATCH(A71,'Trade Log'!$A$5:$A$204,0))*I71/INDEX('Trade Log'!$O$5:$O$204,MATCH(A71,'Trade Log'!$A$5:$A$204,0)),0)),"")</f>
        <v/>
      </c>
      <c r="R71" s="10"/>
    </row>
    <row r="72" spans="1:18">
      <c r="A72" s="2"/>
      <c r="B72" s="4" t="str">
        <f>IF(A72="","",COUNTIF($A$5:A72,A72))</f>
        <v/>
      </c>
      <c r="C72" s="3"/>
      <c r="D72" s="4" t="str">
        <f t="shared" si="4"/>
        <v/>
      </c>
      <c r="E72" s="5"/>
      <c r="F72" s="2"/>
      <c r="G72" s="4" t="str">
        <f>IFERROR(INDEX('Trade Log'!$F$5:$F$204,MATCH(A72,'Trade Log'!$A$5:$A$204,0)),"")</f>
        <v/>
      </c>
      <c r="H72" s="4" t="str">
        <f>IFERROR(INDEX('Trade Log'!$I$5:$I$204,MATCH(A72,'Trade Log'!$A$5:$A$204,0)),"")</f>
        <v/>
      </c>
      <c r="I72" s="7"/>
      <c r="J72" s="8"/>
      <c r="K72" s="8"/>
      <c r="L72" s="8"/>
      <c r="M72" s="2"/>
      <c r="N72" s="9" t="str">
        <f t="shared" si="5"/>
        <v/>
      </c>
      <c r="O72" s="9" t="str">
        <f t="shared" si="6"/>
        <v/>
      </c>
      <c r="P72" s="9" t="str">
        <f>IF(A72="","",O72-(I72*INDEX('Trade Log'!$P$5:$P$204,MATCH(A72,'Trade Log'!$A$5:$A$204,0))*100)-IFERROR(INDEX('Trade Log'!$Q$5:$Q$204,MATCH(A72,'Trade Log'!$A$5:$A$204,0))*I72/INDEX('Trade Log'!$O$5:$O$204,MATCH(A72,'Trade Log'!$A$5:$A$204,0)),0))</f>
        <v/>
      </c>
      <c r="Q72" s="12" t="str">
        <f>IFERROR(P72/(I72*INDEX('Trade Log'!$P$5:$P$204,MATCH(A72,'Trade Log'!$A$5:$A$204,0))*100+IFERROR(INDEX('Trade Log'!$Q$5:$Q$204,MATCH(A72,'Trade Log'!$A$5:$A$204,0))*I72/INDEX('Trade Log'!$O$5:$O$204,MATCH(A72,'Trade Log'!$A$5:$A$204,0)),0)),"")</f>
        <v/>
      </c>
      <c r="R72" s="10"/>
    </row>
    <row r="73" spans="1:18">
      <c r="A73" s="2"/>
      <c r="B73" s="4" t="str">
        <f>IF(A73="","",COUNTIF($A$5:A73,A73))</f>
        <v/>
      </c>
      <c r="C73" s="3"/>
      <c r="D73" s="4" t="str">
        <f t="shared" si="4"/>
        <v/>
      </c>
      <c r="E73" s="5"/>
      <c r="F73" s="2"/>
      <c r="G73" s="4" t="str">
        <f>IFERROR(INDEX('Trade Log'!$F$5:$F$204,MATCH(A73,'Trade Log'!$A$5:$A$204,0)),"")</f>
        <v/>
      </c>
      <c r="H73" s="4" t="str">
        <f>IFERROR(INDEX('Trade Log'!$I$5:$I$204,MATCH(A73,'Trade Log'!$A$5:$A$204,0)),"")</f>
        <v/>
      </c>
      <c r="I73" s="7"/>
      <c r="J73" s="8"/>
      <c r="K73" s="8"/>
      <c r="L73" s="8"/>
      <c r="M73" s="2"/>
      <c r="N73" s="9" t="str">
        <f t="shared" si="5"/>
        <v/>
      </c>
      <c r="O73" s="9" t="str">
        <f t="shared" si="6"/>
        <v/>
      </c>
      <c r="P73" s="9" t="str">
        <f>IF(A73="","",O73-(I73*INDEX('Trade Log'!$P$5:$P$204,MATCH(A73,'Trade Log'!$A$5:$A$204,0))*100)-IFERROR(INDEX('Trade Log'!$Q$5:$Q$204,MATCH(A73,'Trade Log'!$A$5:$A$204,0))*I73/INDEX('Trade Log'!$O$5:$O$204,MATCH(A73,'Trade Log'!$A$5:$A$204,0)),0))</f>
        <v/>
      </c>
      <c r="Q73" s="12" t="str">
        <f>IFERROR(P73/(I73*INDEX('Trade Log'!$P$5:$P$204,MATCH(A73,'Trade Log'!$A$5:$A$204,0))*100+IFERROR(INDEX('Trade Log'!$Q$5:$Q$204,MATCH(A73,'Trade Log'!$A$5:$A$204,0))*I73/INDEX('Trade Log'!$O$5:$O$204,MATCH(A73,'Trade Log'!$A$5:$A$204,0)),0)),"")</f>
        <v/>
      </c>
      <c r="R73" s="10"/>
    </row>
    <row r="74" spans="1:18">
      <c r="A74" s="2"/>
      <c r="B74" s="4" t="str">
        <f>IF(A74="","",COUNTIF($A$5:A74,A74))</f>
        <v/>
      </c>
      <c r="C74" s="3"/>
      <c r="D74" s="4" t="str">
        <f t="shared" si="4"/>
        <v/>
      </c>
      <c r="E74" s="5"/>
      <c r="F74" s="2"/>
      <c r="G74" s="4" t="str">
        <f>IFERROR(INDEX('Trade Log'!$F$5:$F$204,MATCH(A74,'Trade Log'!$A$5:$A$204,0)),"")</f>
        <v/>
      </c>
      <c r="H74" s="4" t="str">
        <f>IFERROR(INDEX('Trade Log'!$I$5:$I$204,MATCH(A74,'Trade Log'!$A$5:$A$204,0)),"")</f>
        <v/>
      </c>
      <c r="I74" s="7"/>
      <c r="J74" s="8"/>
      <c r="K74" s="8"/>
      <c r="L74" s="8"/>
      <c r="M74" s="2"/>
      <c r="N74" s="9" t="str">
        <f t="shared" si="5"/>
        <v/>
      </c>
      <c r="O74" s="9" t="str">
        <f t="shared" si="6"/>
        <v/>
      </c>
      <c r="P74" s="9" t="str">
        <f>IF(A74="","",O74-(I74*INDEX('Trade Log'!$P$5:$P$204,MATCH(A74,'Trade Log'!$A$5:$A$204,0))*100)-IFERROR(INDEX('Trade Log'!$Q$5:$Q$204,MATCH(A74,'Trade Log'!$A$5:$A$204,0))*I74/INDEX('Trade Log'!$O$5:$O$204,MATCH(A74,'Trade Log'!$A$5:$A$204,0)),0))</f>
        <v/>
      </c>
      <c r="Q74" s="12" t="str">
        <f>IFERROR(P74/(I74*INDEX('Trade Log'!$P$5:$P$204,MATCH(A74,'Trade Log'!$A$5:$A$204,0))*100+IFERROR(INDEX('Trade Log'!$Q$5:$Q$204,MATCH(A74,'Trade Log'!$A$5:$A$204,0))*I74/INDEX('Trade Log'!$O$5:$O$204,MATCH(A74,'Trade Log'!$A$5:$A$204,0)),0)),"")</f>
        <v/>
      </c>
      <c r="R74" s="10"/>
    </row>
    <row r="75" spans="1:18">
      <c r="A75" s="2"/>
      <c r="B75" s="4" t="str">
        <f>IF(A75="","",COUNTIF($A$5:A75,A75))</f>
        <v/>
      </c>
      <c r="C75" s="3"/>
      <c r="D75" s="4" t="str">
        <f t="shared" si="4"/>
        <v/>
      </c>
      <c r="E75" s="5"/>
      <c r="F75" s="2"/>
      <c r="G75" s="4" t="str">
        <f>IFERROR(INDEX('Trade Log'!$F$5:$F$204,MATCH(A75,'Trade Log'!$A$5:$A$204,0)),"")</f>
        <v/>
      </c>
      <c r="H75" s="4" t="str">
        <f>IFERROR(INDEX('Trade Log'!$I$5:$I$204,MATCH(A75,'Trade Log'!$A$5:$A$204,0)),"")</f>
        <v/>
      </c>
      <c r="I75" s="7"/>
      <c r="J75" s="8"/>
      <c r="K75" s="8"/>
      <c r="L75" s="8"/>
      <c r="M75" s="2"/>
      <c r="N75" s="9" t="str">
        <f t="shared" si="5"/>
        <v/>
      </c>
      <c r="O75" s="9" t="str">
        <f t="shared" si="6"/>
        <v/>
      </c>
      <c r="P75" s="9" t="str">
        <f>IF(A75="","",O75-(I75*INDEX('Trade Log'!$P$5:$P$204,MATCH(A75,'Trade Log'!$A$5:$A$204,0))*100)-IFERROR(INDEX('Trade Log'!$Q$5:$Q$204,MATCH(A75,'Trade Log'!$A$5:$A$204,0))*I75/INDEX('Trade Log'!$O$5:$O$204,MATCH(A75,'Trade Log'!$A$5:$A$204,0)),0))</f>
        <v/>
      </c>
      <c r="Q75" s="12" t="str">
        <f>IFERROR(P75/(I75*INDEX('Trade Log'!$P$5:$P$204,MATCH(A75,'Trade Log'!$A$5:$A$204,0))*100+IFERROR(INDEX('Trade Log'!$Q$5:$Q$204,MATCH(A75,'Trade Log'!$A$5:$A$204,0))*I75/INDEX('Trade Log'!$O$5:$O$204,MATCH(A75,'Trade Log'!$A$5:$A$204,0)),0)),"")</f>
        <v/>
      </c>
      <c r="R75" s="10"/>
    </row>
    <row r="76" spans="1:18">
      <c r="A76" s="2"/>
      <c r="B76" s="4" t="str">
        <f>IF(A76="","",COUNTIF($A$5:A76,A76))</f>
        <v/>
      </c>
      <c r="C76" s="3"/>
      <c r="D76" s="4" t="str">
        <f t="shared" si="4"/>
        <v/>
      </c>
      <c r="E76" s="5"/>
      <c r="F76" s="2"/>
      <c r="G76" s="4" t="str">
        <f>IFERROR(INDEX('Trade Log'!$F$5:$F$204,MATCH(A76,'Trade Log'!$A$5:$A$204,0)),"")</f>
        <v/>
      </c>
      <c r="H76" s="4" t="str">
        <f>IFERROR(INDEX('Trade Log'!$I$5:$I$204,MATCH(A76,'Trade Log'!$A$5:$A$204,0)),"")</f>
        <v/>
      </c>
      <c r="I76" s="7"/>
      <c r="J76" s="8"/>
      <c r="K76" s="8"/>
      <c r="L76" s="8"/>
      <c r="M76" s="2"/>
      <c r="N76" s="9" t="str">
        <f t="shared" si="5"/>
        <v/>
      </c>
      <c r="O76" s="9" t="str">
        <f t="shared" si="6"/>
        <v/>
      </c>
      <c r="P76" s="9" t="str">
        <f>IF(A76="","",O76-(I76*INDEX('Trade Log'!$P$5:$P$204,MATCH(A76,'Trade Log'!$A$5:$A$204,0))*100)-IFERROR(INDEX('Trade Log'!$Q$5:$Q$204,MATCH(A76,'Trade Log'!$A$5:$A$204,0))*I76/INDEX('Trade Log'!$O$5:$O$204,MATCH(A76,'Trade Log'!$A$5:$A$204,0)),0))</f>
        <v/>
      </c>
      <c r="Q76" s="12" t="str">
        <f>IFERROR(P76/(I76*INDEX('Trade Log'!$P$5:$P$204,MATCH(A76,'Trade Log'!$A$5:$A$204,0))*100+IFERROR(INDEX('Trade Log'!$Q$5:$Q$204,MATCH(A76,'Trade Log'!$A$5:$A$204,0))*I76/INDEX('Trade Log'!$O$5:$O$204,MATCH(A76,'Trade Log'!$A$5:$A$204,0)),0)),"")</f>
        <v/>
      </c>
      <c r="R76" s="10"/>
    </row>
    <row r="77" spans="1:18">
      <c r="A77" s="2"/>
      <c r="B77" s="4" t="str">
        <f>IF(A77="","",COUNTIF($A$5:A77,A77))</f>
        <v/>
      </c>
      <c r="C77" s="3"/>
      <c r="D77" s="4" t="str">
        <f t="shared" si="4"/>
        <v/>
      </c>
      <c r="E77" s="5"/>
      <c r="F77" s="2"/>
      <c r="G77" s="4" t="str">
        <f>IFERROR(INDEX('Trade Log'!$F$5:$F$204,MATCH(A77,'Trade Log'!$A$5:$A$204,0)),"")</f>
        <v/>
      </c>
      <c r="H77" s="4" t="str">
        <f>IFERROR(INDEX('Trade Log'!$I$5:$I$204,MATCH(A77,'Trade Log'!$A$5:$A$204,0)),"")</f>
        <v/>
      </c>
      <c r="I77" s="7"/>
      <c r="J77" s="8"/>
      <c r="K77" s="8"/>
      <c r="L77" s="8"/>
      <c r="M77" s="2"/>
      <c r="N77" s="9" t="str">
        <f t="shared" si="5"/>
        <v/>
      </c>
      <c r="O77" s="9" t="str">
        <f t="shared" si="6"/>
        <v/>
      </c>
      <c r="P77" s="9" t="str">
        <f>IF(A77="","",O77-(I77*INDEX('Trade Log'!$P$5:$P$204,MATCH(A77,'Trade Log'!$A$5:$A$204,0))*100)-IFERROR(INDEX('Trade Log'!$Q$5:$Q$204,MATCH(A77,'Trade Log'!$A$5:$A$204,0))*I77/INDEX('Trade Log'!$O$5:$O$204,MATCH(A77,'Trade Log'!$A$5:$A$204,0)),0))</f>
        <v/>
      </c>
      <c r="Q77" s="12" t="str">
        <f>IFERROR(P77/(I77*INDEX('Trade Log'!$P$5:$P$204,MATCH(A77,'Trade Log'!$A$5:$A$204,0))*100+IFERROR(INDEX('Trade Log'!$Q$5:$Q$204,MATCH(A77,'Trade Log'!$A$5:$A$204,0))*I77/INDEX('Trade Log'!$O$5:$O$204,MATCH(A77,'Trade Log'!$A$5:$A$204,0)),0)),"")</f>
        <v/>
      </c>
      <c r="R77" s="10"/>
    </row>
    <row r="78" spans="1:18">
      <c r="A78" s="2"/>
      <c r="B78" s="4" t="str">
        <f>IF(A78="","",COUNTIF($A$5:A78,A78))</f>
        <v/>
      </c>
      <c r="C78" s="3"/>
      <c r="D78" s="4" t="str">
        <f t="shared" si="4"/>
        <v/>
      </c>
      <c r="E78" s="5"/>
      <c r="F78" s="2"/>
      <c r="G78" s="4" t="str">
        <f>IFERROR(INDEX('Trade Log'!$F$5:$F$204,MATCH(A78,'Trade Log'!$A$5:$A$204,0)),"")</f>
        <v/>
      </c>
      <c r="H78" s="4" t="str">
        <f>IFERROR(INDEX('Trade Log'!$I$5:$I$204,MATCH(A78,'Trade Log'!$A$5:$A$204,0)),"")</f>
        <v/>
      </c>
      <c r="I78" s="7"/>
      <c r="J78" s="8"/>
      <c r="K78" s="8"/>
      <c r="L78" s="8"/>
      <c r="M78" s="2"/>
      <c r="N78" s="9" t="str">
        <f t="shared" si="5"/>
        <v/>
      </c>
      <c r="O78" s="9" t="str">
        <f t="shared" si="6"/>
        <v/>
      </c>
      <c r="P78" s="9" t="str">
        <f>IF(A78="","",O78-(I78*INDEX('Trade Log'!$P$5:$P$204,MATCH(A78,'Trade Log'!$A$5:$A$204,0))*100)-IFERROR(INDEX('Trade Log'!$Q$5:$Q$204,MATCH(A78,'Trade Log'!$A$5:$A$204,0))*I78/INDEX('Trade Log'!$O$5:$O$204,MATCH(A78,'Trade Log'!$A$5:$A$204,0)),0))</f>
        <v/>
      </c>
      <c r="Q78" s="12" t="str">
        <f>IFERROR(P78/(I78*INDEX('Trade Log'!$P$5:$P$204,MATCH(A78,'Trade Log'!$A$5:$A$204,0))*100+IFERROR(INDEX('Trade Log'!$Q$5:$Q$204,MATCH(A78,'Trade Log'!$A$5:$A$204,0))*I78/INDEX('Trade Log'!$O$5:$O$204,MATCH(A78,'Trade Log'!$A$5:$A$204,0)),0)),"")</f>
        <v/>
      </c>
      <c r="R78" s="10"/>
    </row>
    <row r="79" spans="1:18">
      <c r="A79" s="2"/>
      <c r="B79" s="4" t="str">
        <f>IF(A79="","",COUNTIF($A$5:A79,A79))</f>
        <v/>
      </c>
      <c r="C79" s="3"/>
      <c r="D79" s="4" t="str">
        <f t="shared" si="4"/>
        <v/>
      </c>
      <c r="E79" s="5"/>
      <c r="F79" s="2"/>
      <c r="G79" s="4" t="str">
        <f>IFERROR(INDEX('Trade Log'!$F$5:$F$204,MATCH(A79,'Trade Log'!$A$5:$A$204,0)),"")</f>
        <v/>
      </c>
      <c r="H79" s="4" t="str">
        <f>IFERROR(INDEX('Trade Log'!$I$5:$I$204,MATCH(A79,'Trade Log'!$A$5:$A$204,0)),"")</f>
        <v/>
      </c>
      <c r="I79" s="7"/>
      <c r="J79" s="8"/>
      <c r="K79" s="8"/>
      <c r="L79" s="8"/>
      <c r="M79" s="2"/>
      <c r="N79" s="9" t="str">
        <f t="shared" si="5"/>
        <v/>
      </c>
      <c r="O79" s="9" t="str">
        <f t="shared" si="6"/>
        <v/>
      </c>
      <c r="P79" s="9" t="str">
        <f>IF(A79="","",O79-(I79*INDEX('Trade Log'!$P$5:$P$204,MATCH(A79,'Trade Log'!$A$5:$A$204,0))*100)-IFERROR(INDEX('Trade Log'!$Q$5:$Q$204,MATCH(A79,'Trade Log'!$A$5:$A$204,0))*I79/INDEX('Trade Log'!$O$5:$O$204,MATCH(A79,'Trade Log'!$A$5:$A$204,0)),0))</f>
        <v/>
      </c>
      <c r="Q79" s="12" t="str">
        <f>IFERROR(P79/(I79*INDEX('Trade Log'!$P$5:$P$204,MATCH(A79,'Trade Log'!$A$5:$A$204,0))*100+IFERROR(INDEX('Trade Log'!$Q$5:$Q$204,MATCH(A79,'Trade Log'!$A$5:$A$204,0))*I79/INDEX('Trade Log'!$O$5:$O$204,MATCH(A79,'Trade Log'!$A$5:$A$204,0)),0)),"")</f>
        <v/>
      </c>
      <c r="R79" s="10"/>
    </row>
    <row r="80" spans="1:18">
      <c r="A80" s="2"/>
      <c r="B80" s="4" t="str">
        <f>IF(A80="","",COUNTIF($A$5:A80,A80))</f>
        <v/>
      </c>
      <c r="C80" s="3"/>
      <c r="D80" s="4" t="str">
        <f t="shared" si="4"/>
        <v/>
      </c>
      <c r="E80" s="5"/>
      <c r="F80" s="2"/>
      <c r="G80" s="4" t="str">
        <f>IFERROR(INDEX('Trade Log'!$F$5:$F$204,MATCH(A80,'Trade Log'!$A$5:$A$204,0)),"")</f>
        <v/>
      </c>
      <c r="H80" s="4" t="str">
        <f>IFERROR(INDEX('Trade Log'!$I$5:$I$204,MATCH(A80,'Trade Log'!$A$5:$A$204,0)),"")</f>
        <v/>
      </c>
      <c r="I80" s="7"/>
      <c r="J80" s="8"/>
      <c r="K80" s="8"/>
      <c r="L80" s="8"/>
      <c r="M80" s="2"/>
      <c r="N80" s="9" t="str">
        <f t="shared" si="5"/>
        <v/>
      </c>
      <c r="O80" s="9" t="str">
        <f t="shared" si="6"/>
        <v/>
      </c>
      <c r="P80" s="9" t="str">
        <f>IF(A80="","",O80-(I80*INDEX('Trade Log'!$P$5:$P$204,MATCH(A80,'Trade Log'!$A$5:$A$204,0))*100)-IFERROR(INDEX('Trade Log'!$Q$5:$Q$204,MATCH(A80,'Trade Log'!$A$5:$A$204,0))*I80/INDEX('Trade Log'!$O$5:$O$204,MATCH(A80,'Trade Log'!$A$5:$A$204,0)),0))</f>
        <v/>
      </c>
      <c r="Q80" s="12" t="str">
        <f>IFERROR(P80/(I80*INDEX('Trade Log'!$P$5:$P$204,MATCH(A80,'Trade Log'!$A$5:$A$204,0))*100+IFERROR(INDEX('Trade Log'!$Q$5:$Q$204,MATCH(A80,'Trade Log'!$A$5:$A$204,0))*I80/INDEX('Trade Log'!$O$5:$O$204,MATCH(A80,'Trade Log'!$A$5:$A$204,0)),0)),"")</f>
        <v/>
      </c>
      <c r="R80" s="10"/>
    </row>
    <row r="81" spans="1:18">
      <c r="A81" s="2"/>
      <c r="B81" s="4" t="str">
        <f>IF(A81="","",COUNTIF($A$5:A81,A81))</f>
        <v/>
      </c>
      <c r="C81" s="3"/>
      <c r="D81" s="4" t="str">
        <f t="shared" si="4"/>
        <v/>
      </c>
      <c r="E81" s="5"/>
      <c r="F81" s="2"/>
      <c r="G81" s="4" t="str">
        <f>IFERROR(INDEX('Trade Log'!$F$5:$F$204,MATCH(A81,'Trade Log'!$A$5:$A$204,0)),"")</f>
        <v/>
      </c>
      <c r="H81" s="4" t="str">
        <f>IFERROR(INDEX('Trade Log'!$I$5:$I$204,MATCH(A81,'Trade Log'!$A$5:$A$204,0)),"")</f>
        <v/>
      </c>
      <c r="I81" s="7"/>
      <c r="J81" s="8"/>
      <c r="K81" s="8"/>
      <c r="L81" s="8"/>
      <c r="M81" s="2"/>
      <c r="N81" s="9" t="str">
        <f t="shared" si="5"/>
        <v/>
      </c>
      <c r="O81" s="9" t="str">
        <f t="shared" si="6"/>
        <v/>
      </c>
      <c r="P81" s="9" t="str">
        <f>IF(A81="","",O81-(I81*INDEX('Trade Log'!$P$5:$P$204,MATCH(A81,'Trade Log'!$A$5:$A$204,0))*100)-IFERROR(INDEX('Trade Log'!$Q$5:$Q$204,MATCH(A81,'Trade Log'!$A$5:$A$204,0))*I81/INDEX('Trade Log'!$O$5:$O$204,MATCH(A81,'Trade Log'!$A$5:$A$204,0)),0))</f>
        <v/>
      </c>
      <c r="Q81" s="12" t="str">
        <f>IFERROR(P81/(I81*INDEX('Trade Log'!$P$5:$P$204,MATCH(A81,'Trade Log'!$A$5:$A$204,0))*100+IFERROR(INDEX('Trade Log'!$Q$5:$Q$204,MATCH(A81,'Trade Log'!$A$5:$A$204,0))*I81/INDEX('Trade Log'!$O$5:$O$204,MATCH(A81,'Trade Log'!$A$5:$A$204,0)),0)),"")</f>
        <v/>
      </c>
      <c r="R81" s="10"/>
    </row>
    <row r="82" spans="1:18">
      <c r="A82" s="2"/>
      <c r="B82" s="4" t="str">
        <f>IF(A82="","",COUNTIF($A$5:A82,A82))</f>
        <v/>
      </c>
      <c r="C82" s="3"/>
      <c r="D82" s="4" t="str">
        <f t="shared" si="4"/>
        <v/>
      </c>
      <c r="E82" s="5"/>
      <c r="F82" s="2"/>
      <c r="G82" s="4" t="str">
        <f>IFERROR(INDEX('Trade Log'!$F$5:$F$204,MATCH(A82,'Trade Log'!$A$5:$A$204,0)),"")</f>
        <v/>
      </c>
      <c r="H82" s="4" t="str">
        <f>IFERROR(INDEX('Trade Log'!$I$5:$I$204,MATCH(A82,'Trade Log'!$A$5:$A$204,0)),"")</f>
        <v/>
      </c>
      <c r="I82" s="7"/>
      <c r="J82" s="8"/>
      <c r="K82" s="8"/>
      <c r="L82" s="8"/>
      <c r="M82" s="2"/>
      <c r="N82" s="9" t="str">
        <f t="shared" si="5"/>
        <v/>
      </c>
      <c r="O82" s="9" t="str">
        <f t="shared" si="6"/>
        <v/>
      </c>
      <c r="P82" s="9" t="str">
        <f>IF(A82="","",O82-(I82*INDEX('Trade Log'!$P$5:$P$204,MATCH(A82,'Trade Log'!$A$5:$A$204,0))*100)-IFERROR(INDEX('Trade Log'!$Q$5:$Q$204,MATCH(A82,'Trade Log'!$A$5:$A$204,0))*I82/INDEX('Trade Log'!$O$5:$O$204,MATCH(A82,'Trade Log'!$A$5:$A$204,0)),0))</f>
        <v/>
      </c>
      <c r="Q82" s="12" t="str">
        <f>IFERROR(P82/(I82*INDEX('Trade Log'!$P$5:$P$204,MATCH(A82,'Trade Log'!$A$5:$A$204,0))*100+IFERROR(INDEX('Trade Log'!$Q$5:$Q$204,MATCH(A82,'Trade Log'!$A$5:$A$204,0))*I82/INDEX('Trade Log'!$O$5:$O$204,MATCH(A82,'Trade Log'!$A$5:$A$204,0)),0)),"")</f>
        <v/>
      </c>
      <c r="R82" s="10"/>
    </row>
    <row r="83" spans="1:18">
      <c r="A83" s="2"/>
      <c r="B83" s="4" t="str">
        <f>IF(A83="","",COUNTIF($A$5:A83,A83))</f>
        <v/>
      </c>
      <c r="C83" s="3"/>
      <c r="D83" s="4" t="str">
        <f t="shared" si="4"/>
        <v/>
      </c>
      <c r="E83" s="5"/>
      <c r="F83" s="2"/>
      <c r="G83" s="4" t="str">
        <f>IFERROR(INDEX('Trade Log'!$F$5:$F$204,MATCH(A83,'Trade Log'!$A$5:$A$204,0)),"")</f>
        <v/>
      </c>
      <c r="H83" s="4" t="str">
        <f>IFERROR(INDEX('Trade Log'!$I$5:$I$204,MATCH(A83,'Trade Log'!$A$5:$A$204,0)),"")</f>
        <v/>
      </c>
      <c r="I83" s="7"/>
      <c r="J83" s="8"/>
      <c r="K83" s="8"/>
      <c r="L83" s="8"/>
      <c r="M83" s="2"/>
      <c r="N83" s="9" t="str">
        <f t="shared" si="5"/>
        <v/>
      </c>
      <c r="O83" s="9" t="str">
        <f t="shared" si="6"/>
        <v/>
      </c>
      <c r="P83" s="9" t="str">
        <f>IF(A83="","",O83-(I83*INDEX('Trade Log'!$P$5:$P$204,MATCH(A83,'Trade Log'!$A$5:$A$204,0))*100)-IFERROR(INDEX('Trade Log'!$Q$5:$Q$204,MATCH(A83,'Trade Log'!$A$5:$A$204,0))*I83/INDEX('Trade Log'!$O$5:$O$204,MATCH(A83,'Trade Log'!$A$5:$A$204,0)),0))</f>
        <v/>
      </c>
      <c r="Q83" s="12" t="str">
        <f>IFERROR(P83/(I83*INDEX('Trade Log'!$P$5:$P$204,MATCH(A83,'Trade Log'!$A$5:$A$204,0))*100+IFERROR(INDEX('Trade Log'!$Q$5:$Q$204,MATCH(A83,'Trade Log'!$A$5:$A$204,0))*I83/INDEX('Trade Log'!$O$5:$O$204,MATCH(A83,'Trade Log'!$A$5:$A$204,0)),0)),"")</f>
        <v/>
      </c>
      <c r="R83" s="10"/>
    </row>
    <row r="84" spans="1:18">
      <c r="A84" s="2"/>
      <c r="B84" s="4" t="str">
        <f>IF(A84="","",COUNTIF($A$5:A84,A84))</f>
        <v/>
      </c>
      <c r="C84" s="3"/>
      <c r="D84" s="4" t="str">
        <f t="shared" si="4"/>
        <v/>
      </c>
      <c r="E84" s="5"/>
      <c r="F84" s="2"/>
      <c r="G84" s="4" t="str">
        <f>IFERROR(INDEX('Trade Log'!$F$5:$F$204,MATCH(A84,'Trade Log'!$A$5:$A$204,0)),"")</f>
        <v/>
      </c>
      <c r="H84" s="4" t="str">
        <f>IFERROR(INDEX('Trade Log'!$I$5:$I$204,MATCH(A84,'Trade Log'!$A$5:$A$204,0)),"")</f>
        <v/>
      </c>
      <c r="I84" s="7"/>
      <c r="J84" s="8"/>
      <c r="K84" s="8"/>
      <c r="L84" s="8"/>
      <c r="M84" s="2"/>
      <c r="N84" s="9" t="str">
        <f t="shared" si="5"/>
        <v/>
      </c>
      <c r="O84" s="9" t="str">
        <f t="shared" si="6"/>
        <v/>
      </c>
      <c r="P84" s="9" t="str">
        <f>IF(A84="","",O84-(I84*INDEX('Trade Log'!$P$5:$P$204,MATCH(A84,'Trade Log'!$A$5:$A$204,0))*100)-IFERROR(INDEX('Trade Log'!$Q$5:$Q$204,MATCH(A84,'Trade Log'!$A$5:$A$204,0))*I84/INDEX('Trade Log'!$O$5:$O$204,MATCH(A84,'Trade Log'!$A$5:$A$204,0)),0))</f>
        <v/>
      </c>
      <c r="Q84" s="12" t="str">
        <f>IFERROR(P84/(I84*INDEX('Trade Log'!$P$5:$P$204,MATCH(A84,'Trade Log'!$A$5:$A$204,0))*100+IFERROR(INDEX('Trade Log'!$Q$5:$Q$204,MATCH(A84,'Trade Log'!$A$5:$A$204,0))*I84/INDEX('Trade Log'!$O$5:$O$204,MATCH(A84,'Trade Log'!$A$5:$A$204,0)),0)),"")</f>
        <v/>
      </c>
      <c r="R84" s="10"/>
    </row>
    <row r="85" spans="1:18">
      <c r="A85" s="2"/>
      <c r="B85" s="4" t="str">
        <f>IF(A85="","",COUNTIF($A$5:A85,A85))</f>
        <v/>
      </c>
      <c r="C85" s="3"/>
      <c r="D85" s="4" t="str">
        <f t="shared" si="4"/>
        <v/>
      </c>
      <c r="E85" s="5"/>
      <c r="F85" s="2"/>
      <c r="G85" s="4" t="str">
        <f>IFERROR(INDEX('Trade Log'!$F$5:$F$204,MATCH(A85,'Trade Log'!$A$5:$A$204,0)),"")</f>
        <v/>
      </c>
      <c r="H85" s="4" t="str">
        <f>IFERROR(INDEX('Trade Log'!$I$5:$I$204,MATCH(A85,'Trade Log'!$A$5:$A$204,0)),"")</f>
        <v/>
      </c>
      <c r="I85" s="7"/>
      <c r="J85" s="8"/>
      <c r="K85" s="8"/>
      <c r="L85" s="8"/>
      <c r="M85" s="2"/>
      <c r="N85" s="9" t="str">
        <f t="shared" si="5"/>
        <v/>
      </c>
      <c r="O85" s="9" t="str">
        <f t="shared" si="6"/>
        <v/>
      </c>
      <c r="P85" s="9" t="str">
        <f>IF(A85="","",O85-(I85*INDEX('Trade Log'!$P$5:$P$204,MATCH(A85,'Trade Log'!$A$5:$A$204,0))*100)-IFERROR(INDEX('Trade Log'!$Q$5:$Q$204,MATCH(A85,'Trade Log'!$A$5:$A$204,0))*I85/INDEX('Trade Log'!$O$5:$O$204,MATCH(A85,'Trade Log'!$A$5:$A$204,0)),0))</f>
        <v/>
      </c>
      <c r="Q85" s="12" t="str">
        <f>IFERROR(P85/(I85*INDEX('Trade Log'!$P$5:$P$204,MATCH(A85,'Trade Log'!$A$5:$A$204,0))*100+IFERROR(INDEX('Trade Log'!$Q$5:$Q$204,MATCH(A85,'Trade Log'!$A$5:$A$204,0))*I85/INDEX('Trade Log'!$O$5:$O$204,MATCH(A85,'Trade Log'!$A$5:$A$204,0)),0)),"")</f>
        <v/>
      </c>
      <c r="R85" s="10"/>
    </row>
    <row r="86" spans="1:18">
      <c r="A86" s="2"/>
      <c r="B86" s="4" t="str">
        <f>IF(A86="","",COUNTIF($A$5:A86,A86))</f>
        <v/>
      </c>
      <c r="C86" s="3"/>
      <c r="D86" s="4" t="str">
        <f t="shared" si="4"/>
        <v/>
      </c>
      <c r="E86" s="5"/>
      <c r="F86" s="2"/>
      <c r="G86" s="4" t="str">
        <f>IFERROR(INDEX('Trade Log'!$F$5:$F$204,MATCH(A86,'Trade Log'!$A$5:$A$204,0)),"")</f>
        <v/>
      </c>
      <c r="H86" s="4" t="str">
        <f>IFERROR(INDEX('Trade Log'!$I$5:$I$204,MATCH(A86,'Trade Log'!$A$5:$A$204,0)),"")</f>
        <v/>
      </c>
      <c r="I86" s="7"/>
      <c r="J86" s="8"/>
      <c r="K86" s="8"/>
      <c r="L86" s="8"/>
      <c r="M86" s="2"/>
      <c r="N86" s="9" t="str">
        <f t="shared" si="5"/>
        <v/>
      </c>
      <c r="O86" s="9" t="str">
        <f t="shared" si="6"/>
        <v/>
      </c>
      <c r="P86" s="9" t="str">
        <f>IF(A86="","",O86-(I86*INDEX('Trade Log'!$P$5:$P$204,MATCH(A86,'Trade Log'!$A$5:$A$204,0))*100)-IFERROR(INDEX('Trade Log'!$Q$5:$Q$204,MATCH(A86,'Trade Log'!$A$5:$A$204,0))*I86/INDEX('Trade Log'!$O$5:$O$204,MATCH(A86,'Trade Log'!$A$5:$A$204,0)),0))</f>
        <v/>
      </c>
      <c r="Q86" s="12" t="str">
        <f>IFERROR(P86/(I86*INDEX('Trade Log'!$P$5:$P$204,MATCH(A86,'Trade Log'!$A$5:$A$204,0))*100+IFERROR(INDEX('Trade Log'!$Q$5:$Q$204,MATCH(A86,'Trade Log'!$A$5:$A$204,0))*I86/INDEX('Trade Log'!$O$5:$O$204,MATCH(A86,'Trade Log'!$A$5:$A$204,0)),0)),"")</f>
        <v/>
      </c>
      <c r="R86" s="10"/>
    </row>
    <row r="87" spans="1:18">
      <c r="A87" s="2"/>
      <c r="B87" s="4" t="str">
        <f>IF(A87="","",COUNTIF($A$5:A87,A87))</f>
        <v/>
      </c>
      <c r="C87" s="3"/>
      <c r="D87" s="4" t="str">
        <f t="shared" si="4"/>
        <v/>
      </c>
      <c r="E87" s="5"/>
      <c r="F87" s="2"/>
      <c r="G87" s="4" t="str">
        <f>IFERROR(INDEX('Trade Log'!$F$5:$F$204,MATCH(A87,'Trade Log'!$A$5:$A$204,0)),"")</f>
        <v/>
      </c>
      <c r="H87" s="4" t="str">
        <f>IFERROR(INDEX('Trade Log'!$I$5:$I$204,MATCH(A87,'Trade Log'!$A$5:$A$204,0)),"")</f>
        <v/>
      </c>
      <c r="I87" s="7"/>
      <c r="J87" s="8"/>
      <c r="K87" s="8"/>
      <c r="L87" s="8"/>
      <c r="M87" s="2"/>
      <c r="N87" s="9" t="str">
        <f t="shared" si="5"/>
        <v/>
      </c>
      <c r="O87" s="9" t="str">
        <f t="shared" si="6"/>
        <v/>
      </c>
      <c r="P87" s="9" t="str">
        <f>IF(A87="","",O87-(I87*INDEX('Trade Log'!$P$5:$P$204,MATCH(A87,'Trade Log'!$A$5:$A$204,0))*100)-IFERROR(INDEX('Trade Log'!$Q$5:$Q$204,MATCH(A87,'Trade Log'!$A$5:$A$204,0))*I87/INDEX('Trade Log'!$O$5:$O$204,MATCH(A87,'Trade Log'!$A$5:$A$204,0)),0))</f>
        <v/>
      </c>
      <c r="Q87" s="12" t="str">
        <f>IFERROR(P87/(I87*INDEX('Trade Log'!$P$5:$P$204,MATCH(A87,'Trade Log'!$A$5:$A$204,0))*100+IFERROR(INDEX('Trade Log'!$Q$5:$Q$204,MATCH(A87,'Trade Log'!$A$5:$A$204,0))*I87/INDEX('Trade Log'!$O$5:$O$204,MATCH(A87,'Trade Log'!$A$5:$A$204,0)),0)),"")</f>
        <v/>
      </c>
      <c r="R87" s="10"/>
    </row>
    <row r="88" spans="1:18">
      <c r="A88" s="2"/>
      <c r="B88" s="4" t="str">
        <f>IF(A88="","",COUNTIF($A$5:A88,A88))</f>
        <v/>
      </c>
      <c r="C88" s="3"/>
      <c r="D88" s="4" t="str">
        <f t="shared" si="4"/>
        <v/>
      </c>
      <c r="E88" s="5"/>
      <c r="F88" s="2"/>
      <c r="G88" s="4" t="str">
        <f>IFERROR(INDEX('Trade Log'!$F$5:$F$204,MATCH(A88,'Trade Log'!$A$5:$A$204,0)),"")</f>
        <v/>
      </c>
      <c r="H88" s="4" t="str">
        <f>IFERROR(INDEX('Trade Log'!$I$5:$I$204,MATCH(A88,'Trade Log'!$A$5:$A$204,0)),"")</f>
        <v/>
      </c>
      <c r="I88" s="7"/>
      <c r="J88" s="8"/>
      <c r="K88" s="8"/>
      <c r="L88" s="8"/>
      <c r="M88" s="2"/>
      <c r="N88" s="9" t="str">
        <f t="shared" si="5"/>
        <v/>
      </c>
      <c r="O88" s="9" t="str">
        <f t="shared" si="6"/>
        <v/>
      </c>
      <c r="P88" s="9" t="str">
        <f>IF(A88="","",O88-(I88*INDEX('Trade Log'!$P$5:$P$204,MATCH(A88,'Trade Log'!$A$5:$A$204,0))*100)-IFERROR(INDEX('Trade Log'!$Q$5:$Q$204,MATCH(A88,'Trade Log'!$A$5:$A$204,0))*I88/INDEX('Trade Log'!$O$5:$O$204,MATCH(A88,'Trade Log'!$A$5:$A$204,0)),0))</f>
        <v/>
      </c>
      <c r="Q88" s="12" t="str">
        <f>IFERROR(P88/(I88*INDEX('Trade Log'!$P$5:$P$204,MATCH(A88,'Trade Log'!$A$5:$A$204,0))*100+IFERROR(INDEX('Trade Log'!$Q$5:$Q$204,MATCH(A88,'Trade Log'!$A$5:$A$204,0))*I88/INDEX('Trade Log'!$O$5:$O$204,MATCH(A88,'Trade Log'!$A$5:$A$204,0)),0)),"")</f>
        <v/>
      </c>
      <c r="R88" s="10"/>
    </row>
    <row r="89" spans="1:18">
      <c r="A89" s="2"/>
      <c r="B89" s="4" t="str">
        <f>IF(A89="","",COUNTIF($A$5:A89,A89))</f>
        <v/>
      </c>
      <c r="C89" s="3"/>
      <c r="D89" s="4" t="str">
        <f t="shared" si="4"/>
        <v/>
      </c>
      <c r="E89" s="5"/>
      <c r="F89" s="2"/>
      <c r="G89" s="4" t="str">
        <f>IFERROR(INDEX('Trade Log'!$F$5:$F$204,MATCH(A89,'Trade Log'!$A$5:$A$204,0)),"")</f>
        <v/>
      </c>
      <c r="H89" s="4" t="str">
        <f>IFERROR(INDEX('Trade Log'!$I$5:$I$204,MATCH(A89,'Trade Log'!$A$5:$A$204,0)),"")</f>
        <v/>
      </c>
      <c r="I89" s="7"/>
      <c r="J89" s="8"/>
      <c r="K89" s="8"/>
      <c r="L89" s="8"/>
      <c r="M89" s="2"/>
      <c r="N89" s="9" t="str">
        <f t="shared" si="5"/>
        <v/>
      </c>
      <c r="O89" s="9" t="str">
        <f t="shared" si="6"/>
        <v/>
      </c>
      <c r="P89" s="9" t="str">
        <f>IF(A89="","",O89-(I89*INDEX('Trade Log'!$P$5:$P$204,MATCH(A89,'Trade Log'!$A$5:$A$204,0))*100)-IFERROR(INDEX('Trade Log'!$Q$5:$Q$204,MATCH(A89,'Trade Log'!$A$5:$A$204,0))*I89/INDEX('Trade Log'!$O$5:$O$204,MATCH(A89,'Trade Log'!$A$5:$A$204,0)),0))</f>
        <v/>
      </c>
      <c r="Q89" s="12" t="str">
        <f>IFERROR(P89/(I89*INDEX('Trade Log'!$P$5:$P$204,MATCH(A89,'Trade Log'!$A$5:$A$204,0))*100+IFERROR(INDEX('Trade Log'!$Q$5:$Q$204,MATCH(A89,'Trade Log'!$A$5:$A$204,0))*I89/INDEX('Trade Log'!$O$5:$O$204,MATCH(A89,'Trade Log'!$A$5:$A$204,0)),0)),"")</f>
        <v/>
      </c>
      <c r="R89" s="10"/>
    </row>
    <row r="90" spans="1:18">
      <c r="A90" s="2"/>
      <c r="B90" s="4" t="str">
        <f>IF(A90="","",COUNTIF($A$5:A90,A90))</f>
        <v/>
      </c>
      <c r="C90" s="3"/>
      <c r="D90" s="4" t="str">
        <f t="shared" si="4"/>
        <v/>
      </c>
      <c r="E90" s="5"/>
      <c r="F90" s="2"/>
      <c r="G90" s="4" t="str">
        <f>IFERROR(INDEX('Trade Log'!$F$5:$F$204,MATCH(A90,'Trade Log'!$A$5:$A$204,0)),"")</f>
        <v/>
      </c>
      <c r="H90" s="4" t="str">
        <f>IFERROR(INDEX('Trade Log'!$I$5:$I$204,MATCH(A90,'Trade Log'!$A$5:$A$204,0)),"")</f>
        <v/>
      </c>
      <c r="I90" s="7"/>
      <c r="J90" s="8"/>
      <c r="K90" s="8"/>
      <c r="L90" s="8"/>
      <c r="M90" s="2"/>
      <c r="N90" s="9" t="str">
        <f t="shared" si="5"/>
        <v/>
      </c>
      <c r="O90" s="9" t="str">
        <f t="shared" si="6"/>
        <v/>
      </c>
      <c r="P90" s="9" t="str">
        <f>IF(A90="","",O90-(I90*INDEX('Trade Log'!$P$5:$P$204,MATCH(A90,'Trade Log'!$A$5:$A$204,0))*100)-IFERROR(INDEX('Trade Log'!$Q$5:$Q$204,MATCH(A90,'Trade Log'!$A$5:$A$204,0))*I90/INDEX('Trade Log'!$O$5:$O$204,MATCH(A90,'Trade Log'!$A$5:$A$204,0)),0))</f>
        <v/>
      </c>
      <c r="Q90" s="12" t="str">
        <f>IFERROR(P90/(I90*INDEX('Trade Log'!$P$5:$P$204,MATCH(A90,'Trade Log'!$A$5:$A$204,0))*100+IFERROR(INDEX('Trade Log'!$Q$5:$Q$204,MATCH(A90,'Trade Log'!$A$5:$A$204,0))*I90/INDEX('Trade Log'!$O$5:$O$204,MATCH(A90,'Trade Log'!$A$5:$A$204,0)),0)),"")</f>
        <v/>
      </c>
      <c r="R90" s="10"/>
    </row>
    <row r="91" spans="1:18">
      <c r="A91" s="2"/>
      <c r="B91" s="4" t="str">
        <f>IF(A91="","",COUNTIF($A$5:A91,A91))</f>
        <v/>
      </c>
      <c r="C91" s="3"/>
      <c r="D91" s="4" t="str">
        <f t="shared" si="4"/>
        <v/>
      </c>
      <c r="E91" s="5"/>
      <c r="F91" s="2"/>
      <c r="G91" s="4" t="str">
        <f>IFERROR(INDEX('Trade Log'!$F$5:$F$204,MATCH(A91,'Trade Log'!$A$5:$A$204,0)),"")</f>
        <v/>
      </c>
      <c r="H91" s="4" t="str">
        <f>IFERROR(INDEX('Trade Log'!$I$5:$I$204,MATCH(A91,'Trade Log'!$A$5:$A$204,0)),"")</f>
        <v/>
      </c>
      <c r="I91" s="7"/>
      <c r="J91" s="8"/>
      <c r="K91" s="8"/>
      <c r="L91" s="8"/>
      <c r="M91" s="2"/>
      <c r="N91" s="9" t="str">
        <f t="shared" si="5"/>
        <v/>
      </c>
      <c r="O91" s="9" t="str">
        <f t="shared" si="6"/>
        <v/>
      </c>
      <c r="P91" s="9" t="str">
        <f>IF(A91="","",O91-(I91*INDEX('Trade Log'!$P$5:$P$204,MATCH(A91,'Trade Log'!$A$5:$A$204,0))*100)-IFERROR(INDEX('Trade Log'!$Q$5:$Q$204,MATCH(A91,'Trade Log'!$A$5:$A$204,0))*I91/INDEX('Trade Log'!$O$5:$O$204,MATCH(A91,'Trade Log'!$A$5:$A$204,0)),0))</f>
        <v/>
      </c>
      <c r="Q91" s="12" t="str">
        <f>IFERROR(P91/(I91*INDEX('Trade Log'!$P$5:$P$204,MATCH(A91,'Trade Log'!$A$5:$A$204,0))*100+IFERROR(INDEX('Trade Log'!$Q$5:$Q$204,MATCH(A91,'Trade Log'!$A$5:$A$204,0))*I91/INDEX('Trade Log'!$O$5:$O$204,MATCH(A91,'Trade Log'!$A$5:$A$204,0)),0)),"")</f>
        <v/>
      </c>
      <c r="R91" s="10"/>
    </row>
    <row r="92" spans="1:18">
      <c r="A92" s="2"/>
      <c r="B92" s="4" t="str">
        <f>IF(A92="","",COUNTIF($A$5:A92,A92))</f>
        <v/>
      </c>
      <c r="C92" s="3"/>
      <c r="D92" s="4" t="str">
        <f t="shared" si="4"/>
        <v/>
      </c>
      <c r="E92" s="5"/>
      <c r="F92" s="2"/>
      <c r="G92" s="4" t="str">
        <f>IFERROR(INDEX('Trade Log'!$F$5:$F$204,MATCH(A92,'Trade Log'!$A$5:$A$204,0)),"")</f>
        <v/>
      </c>
      <c r="H92" s="4" t="str">
        <f>IFERROR(INDEX('Trade Log'!$I$5:$I$204,MATCH(A92,'Trade Log'!$A$5:$A$204,0)),"")</f>
        <v/>
      </c>
      <c r="I92" s="7"/>
      <c r="J92" s="8"/>
      <c r="K92" s="8"/>
      <c r="L92" s="8"/>
      <c r="M92" s="2"/>
      <c r="N92" s="9" t="str">
        <f t="shared" si="5"/>
        <v/>
      </c>
      <c r="O92" s="9" t="str">
        <f t="shared" si="6"/>
        <v/>
      </c>
      <c r="P92" s="9" t="str">
        <f>IF(A92="","",O92-(I92*INDEX('Trade Log'!$P$5:$P$204,MATCH(A92,'Trade Log'!$A$5:$A$204,0))*100)-IFERROR(INDEX('Trade Log'!$Q$5:$Q$204,MATCH(A92,'Trade Log'!$A$5:$A$204,0))*I92/INDEX('Trade Log'!$O$5:$O$204,MATCH(A92,'Trade Log'!$A$5:$A$204,0)),0))</f>
        <v/>
      </c>
      <c r="Q92" s="12" t="str">
        <f>IFERROR(P92/(I92*INDEX('Trade Log'!$P$5:$P$204,MATCH(A92,'Trade Log'!$A$5:$A$204,0))*100+IFERROR(INDEX('Trade Log'!$Q$5:$Q$204,MATCH(A92,'Trade Log'!$A$5:$A$204,0))*I92/INDEX('Trade Log'!$O$5:$O$204,MATCH(A92,'Trade Log'!$A$5:$A$204,0)),0)),"")</f>
        <v/>
      </c>
      <c r="R92" s="10"/>
    </row>
    <row r="93" spans="1:18">
      <c r="A93" s="2"/>
      <c r="B93" s="4" t="str">
        <f>IF(A93="","",COUNTIF($A$5:A93,A93))</f>
        <v/>
      </c>
      <c r="C93" s="3"/>
      <c r="D93" s="4" t="str">
        <f t="shared" si="4"/>
        <v/>
      </c>
      <c r="E93" s="5"/>
      <c r="F93" s="2"/>
      <c r="G93" s="4" t="str">
        <f>IFERROR(INDEX('Trade Log'!$F$5:$F$204,MATCH(A93,'Trade Log'!$A$5:$A$204,0)),"")</f>
        <v/>
      </c>
      <c r="H93" s="4" t="str">
        <f>IFERROR(INDEX('Trade Log'!$I$5:$I$204,MATCH(A93,'Trade Log'!$A$5:$A$204,0)),"")</f>
        <v/>
      </c>
      <c r="I93" s="7"/>
      <c r="J93" s="8"/>
      <c r="K93" s="8"/>
      <c r="L93" s="8"/>
      <c r="M93" s="2"/>
      <c r="N93" s="9" t="str">
        <f t="shared" si="5"/>
        <v/>
      </c>
      <c r="O93" s="9" t="str">
        <f t="shared" si="6"/>
        <v/>
      </c>
      <c r="P93" s="9" t="str">
        <f>IF(A93="","",O93-(I93*INDEX('Trade Log'!$P$5:$P$204,MATCH(A93,'Trade Log'!$A$5:$A$204,0))*100)-IFERROR(INDEX('Trade Log'!$Q$5:$Q$204,MATCH(A93,'Trade Log'!$A$5:$A$204,0))*I93/INDEX('Trade Log'!$O$5:$O$204,MATCH(A93,'Trade Log'!$A$5:$A$204,0)),0))</f>
        <v/>
      </c>
      <c r="Q93" s="12" t="str">
        <f>IFERROR(P93/(I93*INDEX('Trade Log'!$P$5:$P$204,MATCH(A93,'Trade Log'!$A$5:$A$204,0))*100+IFERROR(INDEX('Trade Log'!$Q$5:$Q$204,MATCH(A93,'Trade Log'!$A$5:$A$204,0))*I93/INDEX('Trade Log'!$O$5:$O$204,MATCH(A93,'Trade Log'!$A$5:$A$204,0)),0)),"")</f>
        <v/>
      </c>
      <c r="R93" s="10"/>
    </row>
    <row r="94" spans="1:18">
      <c r="A94" s="2"/>
      <c r="B94" s="4" t="str">
        <f>IF(A94="","",COUNTIF($A$5:A94,A94))</f>
        <v/>
      </c>
      <c r="C94" s="3"/>
      <c r="D94" s="4" t="str">
        <f t="shared" si="4"/>
        <v/>
      </c>
      <c r="E94" s="5"/>
      <c r="F94" s="2"/>
      <c r="G94" s="4" t="str">
        <f>IFERROR(INDEX('Trade Log'!$F$5:$F$204,MATCH(A94,'Trade Log'!$A$5:$A$204,0)),"")</f>
        <v/>
      </c>
      <c r="H94" s="4" t="str">
        <f>IFERROR(INDEX('Trade Log'!$I$5:$I$204,MATCH(A94,'Trade Log'!$A$5:$A$204,0)),"")</f>
        <v/>
      </c>
      <c r="I94" s="7"/>
      <c r="J94" s="8"/>
      <c r="K94" s="8"/>
      <c r="L94" s="8"/>
      <c r="M94" s="2"/>
      <c r="N94" s="9" t="str">
        <f t="shared" si="5"/>
        <v/>
      </c>
      <c r="O94" s="9" t="str">
        <f t="shared" si="6"/>
        <v/>
      </c>
      <c r="P94" s="9" t="str">
        <f>IF(A94="","",O94-(I94*INDEX('Trade Log'!$P$5:$P$204,MATCH(A94,'Trade Log'!$A$5:$A$204,0))*100)-IFERROR(INDEX('Trade Log'!$Q$5:$Q$204,MATCH(A94,'Trade Log'!$A$5:$A$204,0))*I94/INDEX('Trade Log'!$O$5:$O$204,MATCH(A94,'Trade Log'!$A$5:$A$204,0)),0))</f>
        <v/>
      </c>
      <c r="Q94" s="12" t="str">
        <f>IFERROR(P94/(I94*INDEX('Trade Log'!$P$5:$P$204,MATCH(A94,'Trade Log'!$A$5:$A$204,0))*100+IFERROR(INDEX('Trade Log'!$Q$5:$Q$204,MATCH(A94,'Trade Log'!$A$5:$A$204,0))*I94/INDEX('Trade Log'!$O$5:$O$204,MATCH(A94,'Trade Log'!$A$5:$A$204,0)),0)),"")</f>
        <v/>
      </c>
      <c r="R94" s="10"/>
    </row>
    <row r="95" spans="1:18">
      <c r="A95" s="2"/>
      <c r="B95" s="4" t="str">
        <f>IF(A95="","",COUNTIF($A$5:A95,A95))</f>
        <v/>
      </c>
      <c r="C95" s="3"/>
      <c r="D95" s="4" t="str">
        <f t="shared" si="4"/>
        <v/>
      </c>
      <c r="E95" s="5"/>
      <c r="F95" s="2"/>
      <c r="G95" s="4" t="str">
        <f>IFERROR(INDEX('Trade Log'!$F$5:$F$204,MATCH(A95,'Trade Log'!$A$5:$A$204,0)),"")</f>
        <v/>
      </c>
      <c r="H95" s="4" t="str">
        <f>IFERROR(INDEX('Trade Log'!$I$5:$I$204,MATCH(A95,'Trade Log'!$A$5:$A$204,0)),"")</f>
        <v/>
      </c>
      <c r="I95" s="7"/>
      <c r="J95" s="8"/>
      <c r="K95" s="8"/>
      <c r="L95" s="8"/>
      <c r="M95" s="2"/>
      <c r="N95" s="9" t="str">
        <f t="shared" si="5"/>
        <v/>
      </c>
      <c r="O95" s="9" t="str">
        <f t="shared" si="6"/>
        <v/>
      </c>
      <c r="P95" s="9" t="str">
        <f>IF(A95="","",O95-(I95*INDEX('Trade Log'!$P$5:$P$204,MATCH(A95,'Trade Log'!$A$5:$A$204,0))*100)-IFERROR(INDEX('Trade Log'!$Q$5:$Q$204,MATCH(A95,'Trade Log'!$A$5:$A$204,0))*I95/INDEX('Trade Log'!$O$5:$O$204,MATCH(A95,'Trade Log'!$A$5:$A$204,0)),0))</f>
        <v/>
      </c>
      <c r="Q95" s="12" t="str">
        <f>IFERROR(P95/(I95*INDEX('Trade Log'!$P$5:$P$204,MATCH(A95,'Trade Log'!$A$5:$A$204,0))*100+IFERROR(INDEX('Trade Log'!$Q$5:$Q$204,MATCH(A95,'Trade Log'!$A$5:$A$204,0))*I95/INDEX('Trade Log'!$O$5:$O$204,MATCH(A95,'Trade Log'!$A$5:$A$204,0)),0)),"")</f>
        <v/>
      </c>
      <c r="R95" s="10"/>
    </row>
    <row r="96" spans="1:18">
      <c r="A96" s="2"/>
      <c r="B96" s="4" t="str">
        <f>IF(A96="","",COUNTIF($A$5:A96,A96))</f>
        <v/>
      </c>
      <c r="C96" s="3"/>
      <c r="D96" s="4" t="str">
        <f t="shared" si="4"/>
        <v/>
      </c>
      <c r="E96" s="5"/>
      <c r="F96" s="2"/>
      <c r="G96" s="4" t="str">
        <f>IFERROR(INDEX('Trade Log'!$F$5:$F$204,MATCH(A96,'Trade Log'!$A$5:$A$204,0)),"")</f>
        <v/>
      </c>
      <c r="H96" s="4" t="str">
        <f>IFERROR(INDEX('Trade Log'!$I$5:$I$204,MATCH(A96,'Trade Log'!$A$5:$A$204,0)),"")</f>
        <v/>
      </c>
      <c r="I96" s="7"/>
      <c r="J96" s="8"/>
      <c r="K96" s="8"/>
      <c r="L96" s="8"/>
      <c r="M96" s="2"/>
      <c r="N96" s="9" t="str">
        <f t="shared" si="5"/>
        <v/>
      </c>
      <c r="O96" s="9" t="str">
        <f t="shared" si="6"/>
        <v/>
      </c>
      <c r="P96" s="9" t="str">
        <f>IF(A96="","",O96-(I96*INDEX('Trade Log'!$P$5:$P$204,MATCH(A96,'Trade Log'!$A$5:$A$204,0))*100)-IFERROR(INDEX('Trade Log'!$Q$5:$Q$204,MATCH(A96,'Trade Log'!$A$5:$A$204,0))*I96/INDEX('Trade Log'!$O$5:$O$204,MATCH(A96,'Trade Log'!$A$5:$A$204,0)),0))</f>
        <v/>
      </c>
      <c r="Q96" s="12" t="str">
        <f>IFERROR(P96/(I96*INDEX('Trade Log'!$P$5:$P$204,MATCH(A96,'Trade Log'!$A$5:$A$204,0))*100+IFERROR(INDEX('Trade Log'!$Q$5:$Q$204,MATCH(A96,'Trade Log'!$A$5:$A$204,0))*I96/INDEX('Trade Log'!$O$5:$O$204,MATCH(A96,'Trade Log'!$A$5:$A$204,0)),0)),"")</f>
        <v/>
      </c>
      <c r="R96" s="10"/>
    </row>
    <row r="97" spans="1:18">
      <c r="A97" s="2"/>
      <c r="B97" s="4" t="str">
        <f>IF(A97="","",COUNTIF($A$5:A97,A97))</f>
        <v/>
      </c>
      <c r="C97" s="3"/>
      <c r="D97" s="4" t="str">
        <f t="shared" si="4"/>
        <v/>
      </c>
      <c r="E97" s="5"/>
      <c r="F97" s="2"/>
      <c r="G97" s="4" t="str">
        <f>IFERROR(INDEX('Trade Log'!$F$5:$F$204,MATCH(A97,'Trade Log'!$A$5:$A$204,0)),"")</f>
        <v/>
      </c>
      <c r="H97" s="4" t="str">
        <f>IFERROR(INDEX('Trade Log'!$I$5:$I$204,MATCH(A97,'Trade Log'!$A$5:$A$204,0)),"")</f>
        <v/>
      </c>
      <c r="I97" s="7"/>
      <c r="J97" s="8"/>
      <c r="K97" s="8"/>
      <c r="L97" s="8"/>
      <c r="M97" s="2"/>
      <c r="N97" s="9" t="str">
        <f t="shared" si="5"/>
        <v/>
      </c>
      <c r="O97" s="9" t="str">
        <f t="shared" si="6"/>
        <v/>
      </c>
      <c r="P97" s="9" t="str">
        <f>IF(A97="","",O97-(I97*INDEX('Trade Log'!$P$5:$P$204,MATCH(A97,'Trade Log'!$A$5:$A$204,0))*100)-IFERROR(INDEX('Trade Log'!$Q$5:$Q$204,MATCH(A97,'Trade Log'!$A$5:$A$204,0))*I97/INDEX('Trade Log'!$O$5:$O$204,MATCH(A97,'Trade Log'!$A$5:$A$204,0)),0))</f>
        <v/>
      </c>
      <c r="Q97" s="12" t="str">
        <f>IFERROR(P97/(I97*INDEX('Trade Log'!$P$5:$P$204,MATCH(A97,'Trade Log'!$A$5:$A$204,0))*100+IFERROR(INDEX('Trade Log'!$Q$5:$Q$204,MATCH(A97,'Trade Log'!$A$5:$A$204,0))*I97/INDEX('Trade Log'!$O$5:$O$204,MATCH(A97,'Trade Log'!$A$5:$A$204,0)),0)),"")</f>
        <v/>
      </c>
      <c r="R97" s="10"/>
    </row>
    <row r="98" spans="1:18">
      <c r="A98" s="2"/>
      <c r="B98" s="4" t="str">
        <f>IF(A98="","",COUNTIF($A$5:A98,A98))</f>
        <v/>
      </c>
      <c r="C98" s="3"/>
      <c r="D98" s="4" t="str">
        <f t="shared" si="4"/>
        <v/>
      </c>
      <c r="E98" s="5"/>
      <c r="F98" s="2"/>
      <c r="G98" s="4" t="str">
        <f>IFERROR(INDEX('Trade Log'!$F$5:$F$204,MATCH(A98,'Trade Log'!$A$5:$A$204,0)),"")</f>
        <v/>
      </c>
      <c r="H98" s="4" t="str">
        <f>IFERROR(INDEX('Trade Log'!$I$5:$I$204,MATCH(A98,'Trade Log'!$A$5:$A$204,0)),"")</f>
        <v/>
      </c>
      <c r="I98" s="7"/>
      <c r="J98" s="8"/>
      <c r="K98" s="8"/>
      <c r="L98" s="8"/>
      <c r="M98" s="2"/>
      <c r="N98" s="9" t="str">
        <f t="shared" si="5"/>
        <v/>
      </c>
      <c r="O98" s="9" t="str">
        <f t="shared" si="6"/>
        <v/>
      </c>
      <c r="P98" s="9" t="str">
        <f>IF(A98="","",O98-(I98*INDEX('Trade Log'!$P$5:$P$204,MATCH(A98,'Trade Log'!$A$5:$A$204,0))*100)-IFERROR(INDEX('Trade Log'!$Q$5:$Q$204,MATCH(A98,'Trade Log'!$A$5:$A$204,0))*I98/INDEX('Trade Log'!$O$5:$O$204,MATCH(A98,'Trade Log'!$A$5:$A$204,0)),0))</f>
        <v/>
      </c>
      <c r="Q98" s="12" t="str">
        <f>IFERROR(P98/(I98*INDEX('Trade Log'!$P$5:$P$204,MATCH(A98,'Trade Log'!$A$5:$A$204,0))*100+IFERROR(INDEX('Trade Log'!$Q$5:$Q$204,MATCH(A98,'Trade Log'!$A$5:$A$204,0))*I98/INDEX('Trade Log'!$O$5:$O$204,MATCH(A98,'Trade Log'!$A$5:$A$204,0)),0)),"")</f>
        <v/>
      </c>
      <c r="R98" s="10"/>
    </row>
    <row r="99" spans="1:18">
      <c r="A99" s="2"/>
      <c r="B99" s="4" t="str">
        <f>IF(A99="","",COUNTIF($A$5:A99,A99))</f>
        <v/>
      </c>
      <c r="C99" s="3"/>
      <c r="D99" s="4" t="str">
        <f t="shared" si="4"/>
        <v/>
      </c>
      <c r="E99" s="5"/>
      <c r="F99" s="2"/>
      <c r="G99" s="4" t="str">
        <f>IFERROR(INDEX('Trade Log'!$F$5:$F$204,MATCH(A99,'Trade Log'!$A$5:$A$204,0)),"")</f>
        <v/>
      </c>
      <c r="H99" s="4" t="str">
        <f>IFERROR(INDEX('Trade Log'!$I$5:$I$204,MATCH(A99,'Trade Log'!$A$5:$A$204,0)),"")</f>
        <v/>
      </c>
      <c r="I99" s="7"/>
      <c r="J99" s="8"/>
      <c r="K99" s="8"/>
      <c r="L99" s="8"/>
      <c r="M99" s="2"/>
      <c r="N99" s="9" t="str">
        <f t="shared" si="5"/>
        <v/>
      </c>
      <c r="O99" s="9" t="str">
        <f t="shared" si="6"/>
        <v/>
      </c>
      <c r="P99" s="9" t="str">
        <f>IF(A99="","",O99-(I99*INDEX('Trade Log'!$P$5:$P$204,MATCH(A99,'Trade Log'!$A$5:$A$204,0))*100)-IFERROR(INDEX('Trade Log'!$Q$5:$Q$204,MATCH(A99,'Trade Log'!$A$5:$A$204,0))*I99/INDEX('Trade Log'!$O$5:$O$204,MATCH(A99,'Trade Log'!$A$5:$A$204,0)),0))</f>
        <v/>
      </c>
      <c r="Q99" s="12" t="str">
        <f>IFERROR(P99/(I99*INDEX('Trade Log'!$P$5:$P$204,MATCH(A99,'Trade Log'!$A$5:$A$204,0))*100+IFERROR(INDEX('Trade Log'!$Q$5:$Q$204,MATCH(A99,'Trade Log'!$A$5:$A$204,0))*I99/INDEX('Trade Log'!$O$5:$O$204,MATCH(A99,'Trade Log'!$A$5:$A$204,0)),0)),"")</f>
        <v/>
      </c>
      <c r="R99" s="10"/>
    </row>
    <row r="100" spans="1:18">
      <c r="A100" s="2"/>
      <c r="B100" s="4" t="str">
        <f>IF(A100="","",COUNTIF($A$5:A100,A100))</f>
        <v/>
      </c>
      <c r="C100" s="3"/>
      <c r="D100" s="4" t="str">
        <f t="shared" si="4"/>
        <v/>
      </c>
      <c r="E100" s="5"/>
      <c r="F100" s="2"/>
      <c r="G100" s="4" t="str">
        <f>IFERROR(INDEX('Trade Log'!$F$5:$F$204,MATCH(A100,'Trade Log'!$A$5:$A$204,0)),"")</f>
        <v/>
      </c>
      <c r="H100" s="4" t="str">
        <f>IFERROR(INDEX('Trade Log'!$I$5:$I$204,MATCH(A100,'Trade Log'!$A$5:$A$204,0)),"")</f>
        <v/>
      </c>
      <c r="I100" s="7"/>
      <c r="J100" s="8"/>
      <c r="K100" s="8"/>
      <c r="L100" s="8"/>
      <c r="M100" s="2"/>
      <c r="N100" s="9" t="str">
        <f t="shared" si="5"/>
        <v/>
      </c>
      <c r="O100" s="9" t="str">
        <f t="shared" si="6"/>
        <v/>
      </c>
      <c r="P100" s="9" t="str">
        <f>IF(A100="","",O100-(I100*INDEX('Trade Log'!$P$5:$P$204,MATCH(A100,'Trade Log'!$A$5:$A$204,0))*100)-IFERROR(INDEX('Trade Log'!$Q$5:$Q$204,MATCH(A100,'Trade Log'!$A$5:$A$204,0))*I100/INDEX('Trade Log'!$O$5:$O$204,MATCH(A100,'Trade Log'!$A$5:$A$204,0)),0))</f>
        <v/>
      </c>
      <c r="Q100" s="12" t="str">
        <f>IFERROR(P100/(I100*INDEX('Trade Log'!$P$5:$P$204,MATCH(A100,'Trade Log'!$A$5:$A$204,0))*100+IFERROR(INDEX('Trade Log'!$Q$5:$Q$204,MATCH(A100,'Trade Log'!$A$5:$A$204,0))*I100/INDEX('Trade Log'!$O$5:$O$204,MATCH(A100,'Trade Log'!$A$5:$A$204,0)),0)),"")</f>
        <v/>
      </c>
      <c r="R100" s="10"/>
    </row>
    <row r="101" spans="1:18">
      <c r="A101" s="2"/>
      <c r="B101" s="4" t="str">
        <f>IF(A101="","",COUNTIF($A$5:A101,A101))</f>
        <v/>
      </c>
      <c r="C101" s="3"/>
      <c r="D101" s="4" t="str">
        <f t="shared" si="4"/>
        <v/>
      </c>
      <c r="E101" s="5"/>
      <c r="F101" s="2"/>
      <c r="G101" s="4" t="str">
        <f>IFERROR(INDEX('Trade Log'!$F$5:$F$204,MATCH(A101,'Trade Log'!$A$5:$A$204,0)),"")</f>
        <v/>
      </c>
      <c r="H101" s="4" t="str">
        <f>IFERROR(INDEX('Trade Log'!$I$5:$I$204,MATCH(A101,'Trade Log'!$A$5:$A$204,0)),"")</f>
        <v/>
      </c>
      <c r="I101" s="7"/>
      <c r="J101" s="8"/>
      <c r="K101" s="8"/>
      <c r="L101" s="8"/>
      <c r="M101" s="2"/>
      <c r="N101" s="9" t="str">
        <f t="shared" si="5"/>
        <v/>
      </c>
      <c r="O101" s="9" t="str">
        <f t="shared" si="6"/>
        <v/>
      </c>
      <c r="P101" s="9" t="str">
        <f>IF(A101="","",O101-(I101*INDEX('Trade Log'!$P$5:$P$204,MATCH(A101,'Trade Log'!$A$5:$A$204,0))*100)-IFERROR(INDEX('Trade Log'!$Q$5:$Q$204,MATCH(A101,'Trade Log'!$A$5:$A$204,0))*I101/INDEX('Trade Log'!$O$5:$O$204,MATCH(A101,'Trade Log'!$A$5:$A$204,0)),0))</f>
        <v/>
      </c>
      <c r="Q101" s="12" t="str">
        <f>IFERROR(P101/(I101*INDEX('Trade Log'!$P$5:$P$204,MATCH(A101,'Trade Log'!$A$5:$A$204,0))*100+IFERROR(INDEX('Trade Log'!$Q$5:$Q$204,MATCH(A101,'Trade Log'!$A$5:$A$204,0))*I101/INDEX('Trade Log'!$O$5:$O$204,MATCH(A101,'Trade Log'!$A$5:$A$204,0)),0)),"")</f>
        <v/>
      </c>
      <c r="R101" s="10"/>
    </row>
    <row r="102" spans="1:18">
      <c r="A102" s="2"/>
      <c r="B102" s="4" t="str">
        <f>IF(A102="","",COUNTIF($A$5:A102,A102))</f>
        <v/>
      </c>
      <c r="C102" s="3"/>
      <c r="D102" s="4" t="str">
        <f t="shared" si="4"/>
        <v/>
      </c>
      <c r="E102" s="5"/>
      <c r="F102" s="2"/>
      <c r="G102" s="4" t="str">
        <f>IFERROR(INDEX('Trade Log'!$F$5:$F$204,MATCH(A102,'Trade Log'!$A$5:$A$204,0)),"")</f>
        <v/>
      </c>
      <c r="H102" s="4" t="str">
        <f>IFERROR(INDEX('Trade Log'!$I$5:$I$204,MATCH(A102,'Trade Log'!$A$5:$A$204,0)),"")</f>
        <v/>
      </c>
      <c r="I102" s="7"/>
      <c r="J102" s="8"/>
      <c r="K102" s="8"/>
      <c r="L102" s="8"/>
      <c r="M102" s="2"/>
      <c r="N102" s="9" t="str">
        <f t="shared" si="5"/>
        <v/>
      </c>
      <c r="O102" s="9" t="str">
        <f t="shared" si="6"/>
        <v/>
      </c>
      <c r="P102" s="9" t="str">
        <f>IF(A102="","",O102-(I102*INDEX('Trade Log'!$P$5:$P$204,MATCH(A102,'Trade Log'!$A$5:$A$204,0))*100)-IFERROR(INDEX('Trade Log'!$Q$5:$Q$204,MATCH(A102,'Trade Log'!$A$5:$A$204,0))*I102/INDEX('Trade Log'!$O$5:$O$204,MATCH(A102,'Trade Log'!$A$5:$A$204,0)),0))</f>
        <v/>
      </c>
      <c r="Q102" s="12" t="str">
        <f>IFERROR(P102/(I102*INDEX('Trade Log'!$P$5:$P$204,MATCH(A102,'Trade Log'!$A$5:$A$204,0))*100+IFERROR(INDEX('Trade Log'!$Q$5:$Q$204,MATCH(A102,'Trade Log'!$A$5:$A$204,0))*I102/INDEX('Trade Log'!$O$5:$O$204,MATCH(A102,'Trade Log'!$A$5:$A$204,0)),0)),"")</f>
        <v/>
      </c>
      <c r="R102" s="10"/>
    </row>
    <row r="103" spans="1:18">
      <c r="A103" s="2"/>
      <c r="B103" s="4" t="str">
        <f>IF(A103="","",COUNTIF($A$5:A103,A103))</f>
        <v/>
      </c>
      <c r="C103" s="3"/>
      <c r="D103" s="4" t="str">
        <f t="shared" si="4"/>
        <v/>
      </c>
      <c r="E103" s="5"/>
      <c r="F103" s="2"/>
      <c r="G103" s="4" t="str">
        <f>IFERROR(INDEX('Trade Log'!$F$5:$F$204,MATCH(A103,'Trade Log'!$A$5:$A$204,0)),"")</f>
        <v/>
      </c>
      <c r="H103" s="4" t="str">
        <f>IFERROR(INDEX('Trade Log'!$I$5:$I$204,MATCH(A103,'Trade Log'!$A$5:$A$204,0)),"")</f>
        <v/>
      </c>
      <c r="I103" s="7"/>
      <c r="J103" s="8"/>
      <c r="K103" s="8"/>
      <c r="L103" s="8"/>
      <c r="M103" s="2"/>
      <c r="N103" s="9" t="str">
        <f t="shared" si="5"/>
        <v/>
      </c>
      <c r="O103" s="9" t="str">
        <f t="shared" si="6"/>
        <v/>
      </c>
      <c r="P103" s="9" t="str">
        <f>IF(A103="","",O103-(I103*INDEX('Trade Log'!$P$5:$P$204,MATCH(A103,'Trade Log'!$A$5:$A$204,0))*100)-IFERROR(INDEX('Trade Log'!$Q$5:$Q$204,MATCH(A103,'Trade Log'!$A$5:$A$204,0))*I103/INDEX('Trade Log'!$O$5:$O$204,MATCH(A103,'Trade Log'!$A$5:$A$204,0)),0))</f>
        <v/>
      </c>
      <c r="Q103" s="12" t="str">
        <f>IFERROR(P103/(I103*INDEX('Trade Log'!$P$5:$P$204,MATCH(A103,'Trade Log'!$A$5:$A$204,0))*100+IFERROR(INDEX('Trade Log'!$Q$5:$Q$204,MATCH(A103,'Trade Log'!$A$5:$A$204,0))*I103/INDEX('Trade Log'!$O$5:$O$204,MATCH(A103,'Trade Log'!$A$5:$A$204,0)),0)),"")</f>
        <v/>
      </c>
      <c r="R103" s="10"/>
    </row>
    <row r="104" spans="1:18">
      <c r="A104" s="2"/>
      <c r="B104" s="4" t="str">
        <f>IF(A104="","",COUNTIF($A$5:A104,A104))</f>
        <v/>
      </c>
      <c r="C104" s="3"/>
      <c r="D104" s="4" t="str">
        <f t="shared" si="4"/>
        <v/>
      </c>
      <c r="E104" s="5"/>
      <c r="F104" s="2"/>
      <c r="G104" s="4" t="str">
        <f>IFERROR(INDEX('Trade Log'!$F$5:$F$204,MATCH(A104,'Trade Log'!$A$5:$A$204,0)),"")</f>
        <v/>
      </c>
      <c r="H104" s="4" t="str">
        <f>IFERROR(INDEX('Trade Log'!$I$5:$I$204,MATCH(A104,'Trade Log'!$A$5:$A$204,0)),"")</f>
        <v/>
      </c>
      <c r="I104" s="7"/>
      <c r="J104" s="8"/>
      <c r="K104" s="8"/>
      <c r="L104" s="8"/>
      <c r="M104" s="2"/>
      <c r="N104" s="9" t="str">
        <f t="shared" si="5"/>
        <v/>
      </c>
      <c r="O104" s="9" t="str">
        <f t="shared" si="6"/>
        <v/>
      </c>
      <c r="P104" s="9" t="str">
        <f>IF(A104="","",O104-(I104*INDEX('Trade Log'!$P$5:$P$204,MATCH(A104,'Trade Log'!$A$5:$A$204,0))*100)-IFERROR(INDEX('Trade Log'!$Q$5:$Q$204,MATCH(A104,'Trade Log'!$A$5:$A$204,0))*I104/INDEX('Trade Log'!$O$5:$O$204,MATCH(A104,'Trade Log'!$A$5:$A$204,0)),0))</f>
        <v/>
      </c>
      <c r="Q104" s="12" t="str">
        <f>IFERROR(P104/(I104*INDEX('Trade Log'!$P$5:$P$204,MATCH(A104,'Trade Log'!$A$5:$A$204,0))*100+IFERROR(INDEX('Trade Log'!$Q$5:$Q$204,MATCH(A104,'Trade Log'!$A$5:$A$204,0))*I104/INDEX('Trade Log'!$O$5:$O$204,MATCH(A104,'Trade Log'!$A$5:$A$204,0)),0)),"")</f>
        <v/>
      </c>
      <c r="R104" s="10"/>
    </row>
    <row r="105" spans="1:18">
      <c r="A105" s="2"/>
      <c r="B105" s="4" t="str">
        <f>IF(A105="","",COUNTIF($A$5:A105,A105))</f>
        <v/>
      </c>
      <c r="C105" s="3"/>
      <c r="D105" s="4" t="str">
        <f t="shared" si="4"/>
        <v/>
      </c>
      <c r="E105" s="5"/>
      <c r="F105" s="2"/>
      <c r="G105" s="4" t="str">
        <f>IFERROR(INDEX('Trade Log'!$F$5:$F$204,MATCH(A105,'Trade Log'!$A$5:$A$204,0)),"")</f>
        <v/>
      </c>
      <c r="H105" s="4" t="str">
        <f>IFERROR(INDEX('Trade Log'!$I$5:$I$204,MATCH(A105,'Trade Log'!$A$5:$A$204,0)),"")</f>
        <v/>
      </c>
      <c r="I105" s="7"/>
      <c r="J105" s="8"/>
      <c r="K105" s="8"/>
      <c r="L105" s="8"/>
      <c r="M105" s="2"/>
      <c r="N105" s="9" t="str">
        <f t="shared" si="5"/>
        <v/>
      </c>
      <c r="O105" s="9" t="str">
        <f t="shared" si="6"/>
        <v/>
      </c>
      <c r="P105" s="9" t="str">
        <f>IF(A105="","",O105-(I105*INDEX('Trade Log'!$P$5:$P$204,MATCH(A105,'Trade Log'!$A$5:$A$204,0))*100)-IFERROR(INDEX('Trade Log'!$Q$5:$Q$204,MATCH(A105,'Trade Log'!$A$5:$A$204,0))*I105/INDEX('Trade Log'!$O$5:$O$204,MATCH(A105,'Trade Log'!$A$5:$A$204,0)),0))</f>
        <v/>
      </c>
      <c r="Q105" s="12" t="str">
        <f>IFERROR(P105/(I105*INDEX('Trade Log'!$P$5:$P$204,MATCH(A105,'Trade Log'!$A$5:$A$204,0))*100+IFERROR(INDEX('Trade Log'!$Q$5:$Q$204,MATCH(A105,'Trade Log'!$A$5:$A$204,0))*I105/INDEX('Trade Log'!$O$5:$O$204,MATCH(A105,'Trade Log'!$A$5:$A$204,0)),0)),"")</f>
        <v/>
      </c>
      <c r="R105" s="10"/>
    </row>
    <row r="106" spans="1:18">
      <c r="A106" s="2"/>
      <c r="B106" s="4" t="str">
        <f>IF(A106="","",COUNTIF($A$5:A106,A106))</f>
        <v/>
      </c>
      <c r="C106" s="3"/>
      <c r="D106" s="4" t="str">
        <f t="shared" si="4"/>
        <v/>
      </c>
      <c r="E106" s="5"/>
      <c r="F106" s="2"/>
      <c r="G106" s="4" t="str">
        <f>IFERROR(INDEX('Trade Log'!$F$5:$F$204,MATCH(A106,'Trade Log'!$A$5:$A$204,0)),"")</f>
        <v/>
      </c>
      <c r="H106" s="4" t="str">
        <f>IFERROR(INDEX('Trade Log'!$I$5:$I$204,MATCH(A106,'Trade Log'!$A$5:$A$204,0)),"")</f>
        <v/>
      </c>
      <c r="I106" s="7"/>
      <c r="J106" s="8"/>
      <c r="K106" s="8"/>
      <c r="L106" s="8"/>
      <c r="M106" s="2"/>
      <c r="N106" s="9" t="str">
        <f t="shared" si="5"/>
        <v/>
      </c>
      <c r="O106" s="9" t="str">
        <f t="shared" si="6"/>
        <v/>
      </c>
      <c r="P106" s="9" t="str">
        <f>IF(A106="","",O106-(I106*INDEX('Trade Log'!$P$5:$P$204,MATCH(A106,'Trade Log'!$A$5:$A$204,0))*100)-IFERROR(INDEX('Trade Log'!$Q$5:$Q$204,MATCH(A106,'Trade Log'!$A$5:$A$204,0))*I106/INDEX('Trade Log'!$O$5:$O$204,MATCH(A106,'Trade Log'!$A$5:$A$204,0)),0))</f>
        <v/>
      </c>
      <c r="Q106" s="12" t="str">
        <f>IFERROR(P106/(I106*INDEX('Trade Log'!$P$5:$P$204,MATCH(A106,'Trade Log'!$A$5:$A$204,0))*100+IFERROR(INDEX('Trade Log'!$Q$5:$Q$204,MATCH(A106,'Trade Log'!$A$5:$A$204,0))*I106/INDEX('Trade Log'!$O$5:$O$204,MATCH(A106,'Trade Log'!$A$5:$A$204,0)),0)),"")</f>
        <v/>
      </c>
      <c r="R106" s="10"/>
    </row>
    <row r="107" spans="1:18">
      <c r="A107" s="2"/>
      <c r="B107" s="4" t="str">
        <f>IF(A107="","",COUNTIF($A$5:A107,A107))</f>
        <v/>
      </c>
      <c r="C107" s="3"/>
      <c r="D107" s="4" t="str">
        <f t="shared" si="4"/>
        <v/>
      </c>
      <c r="E107" s="5"/>
      <c r="F107" s="2"/>
      <c r="G107" s="4" t="str">
        <f>IFERROR(INDEX('Trade Log'!$F$5:$F$204,MATCH(A107,'Trade Log'!$A$5:$A$204,0)),"")</f>
        <v/>
      </c>
      <c r="H107" s="4" t="str">
        <f>IFERROR(INDEX('Trade Log'!$I$5:$I$204,MATCH(A107,'Trade Log'!$A$5:$A$204,0)),"")</f>
        <v/>
      </c>
      <c r="I107" s="7"/>
      <c r="J107" s="8"/>
      <c r="K107" s="8"/>
      <c r="L107" s="8"/>
      <c r="M107" s="2"/>
      <c r="N107" s="9" t="str">
        <f t="shared" si="5"/>
        <v/>
      </c>
      <c r="O107" s="9" t="str">
        <f t="shared" si="6"/>
        <v/>
      </c>
      <c r="P107" s="9" t="str">
        <f>IF(A107="","",O107-(I107*INDEX('Trade Log'!$P$5:$P$204,MATCH(A107,'Trade Log'!$A$5:$A$204,0))*100)-IFERROR(INDEX('Trade Log'!$Q$5:$Q$204,MATCH(A107,'Trade Log'!$A$5:$A$204,0))*I107/INDEX('Trade Log'!$O$5:$O$204,MATCH(A107,'Trade Log'!$A$5:$A$204,0)),0))</f>
        <v/>
      </c>
      <c r="Q107" s="12" t="str">
        <f>IFERROR(P107/(I107*INDEX('Trade Log'!$P$5:$P$204,MATCH(A107,'Trade Log'!$A$5:$A$204,0))*100+IFERROR(INDEX('Trade Log'!$Q$5:$Q$204,MATCH(A107,'Trade Log'!$A$5:$A$204,0))*I107/INDEX('Trade Log'!$O$5:$O$204,MATCH(A107,'Trade Log'!$A$5:$A$204,0)),0)),"")</f>
        <v/>
      </c>
      <c r="R107" s="10"/>
    </row>
    <row r="108" spans="1:18">
      <c r="A108" s="2"/>
      <c r="B108" s="4" t="str">
        <f>IF(A108="","",COUNTIF($A$5:A108,A108))</f>
        <v/>
      </c>
      <c r="C108" s="3"/>
      <c r="D108" s="4" t="str">
        <f t="shared" si="4"/>
        <v/>
      </c>
      <c r="E108" s="5"/>
      <c r="F108" s="2"/>
      <c r="G108" s="4" t="str">
        <f>IFERROR(INDEX('Trade Log'!$F$5:$F$204,MATCH(A108,'Trade Log'!$A$5:$A$204,0)),"")</f>
        <v/>
      </c>
      <c r="H108" s="4" t="str">
        <f>IFERROR(INDEX('Trade Log'!$I$5:$I$204,MATCH(A108,'Trade Log'!$A$5:$A$204,0)),"")</f>
        <v/>
      </c>
      <c r="I108" s="7"/>
      <c r="J108" s="8"/>
      <c r="K108" s="8"/>
      <c r="L108" s="8"/>
      <c r="M108" s="2"/>
      <c r="N108" s="9" t="str">
        <f t="shared" si="5"/>
        <v/>
      </c>
      <c r="O108" s="9" t="str">
        <f t="shared" si="6"/>
        <v/>
      </c>
      <c r="P108" s="9" t="str">
        <f>IF(A108="","",O108-(I108*INDEX('Trade Log'!$P$5:$P$204,MATCH(A108,'Trade Log'!$A$5:$A$204,0))*100)-IFERROR(INDEX('Trade Log'!$Q$5:$Q$204,MATCH(A108,'Trade Log'!$A$5:$A$204,0))*I108/INDEX('Trade Log'!$O$5:$O$204,MATCH(A108,'Trade Log'!$A$5:$A$204,0)),0))</f>
        <v/>
      </c>
      <c r="Q108" s="12" t="str">
        <f>IFERROR(P108/(I108*INDEX('Trade Log'!$P$5:$P$204,MATCH(A108,'Trade Log'!$A$5:$A$204,0))*100+IFERROR(INDEX('Trade Log'!$Q$5:$Q$204,MATCH(A108,'Trade Log'!$A$5:$A$204,0))*I108/INDEX('Trade Log'!$O$5:$O$204,MATCH(A108,'Trade Log'!$A$5:$A$204,0)),0)),"")</f>
        <v/>
      </c>
      <c r="R108" s="10"/>
    </row>
    <row r="109" spans="1:18">
      <c r="A109" s="2"/>
      <c r="B109" s="4" t="str">
        <f>IF(A109="","",COUNTIF($A$5:A109,A109))</f>
        <v/>
      </c>
      <c r="C109" s="3"/>
      <c r="D109" s="4" t="str">
        <f t="shared" si="4"/>
        <v/>
      </c>
      <c r="E109" s="5"/>
      <c r="F109" s="2"/>
      <c r="G109" s="4" t="str">
        <f>IFERROR(INDEX('Trade Log'!$F$5:$F$204,MATCH(A109,'Trade Log'!$A$5:$A$204,0)),"")</f>
        <v/>
      </c>
      <c r="H109" s="4" t="str">
        <f>IFERROR(INDEX('Trade Log'!$I$5:$I$204,MATCH(A109,'Trade Log'!$A$5:$A$204,0)),"")</f>
        <v/>
      </c>
      <c r="I109" s="7"/>
      <c r="J109" s="8"/>
      <c r="K109" s="8"/>
      <c r="L109" s="8"/>
      <c r="M109" s="2"/>
      <c r="N109" s="9" t="str">
        <f t="shared" si="5"/>
        <v/>
      </c>
      <c r="O109" s="9" t="str">
        <f t="shared" si="6"/>
        <v/>
      </c>
      <c r="P109" s="9" t="str">
        <f>IF(A109="","",O109-(I109*INDEX('Trade Log'!$P$5:$P$204,MATCH(A109,'Trade Log'!$A$5:$A$204,0))*100)-IFERROR(INDEX('Trade Log'!$Q$5:$Q$204,MATCH(A109,'Trade Log'!$A$5:$A$204,0))*I109/INDEX('Trade Log'!$O$5:$O$204,MATCH(A109,'Trade Log'!$A$5:$A$204,0)),0))</f>
        <v/>
      </c>
      <c r="Q109" s="12" t="str">
        <f>IFERROR(P109/(I109*INDEX('Trade Log'!$P$5:$P$204,MATCH(A109,'Trade Log'!$A$5:$A$204,0))*100+IFERROR(INDEX('Trade Log'!$Q$5:$Q$204,MATCH(A109,'Trade Log'!$A$5:$A$204,0))*I109/INDEX('Trade Log'!$O$5:$O$204,MATCH(A109,'Trade Log'!$A$5:$A$204,0)),0)),"")</f>
        <v/>
      </c>
      <c r="R109" s="10"/>
    </row>
    <row r="110" spans="1:18">
      <c r="A110" s="2"/>
      <c r="B110" s="4" t="str">
        <f>IF(A110="","",COUNTIF($A$5:A110,A110))</f>
        <v/>
      </c>
      <c r="C110" s="3"/>
      <c r="D110" s="4" t="str">
        <f t="shared" si="4"/>
        <v/>
      </c>
      <c r="E110" s="5"/>
      <c r="F110" s="2"/>
      <c r="G110" s="4" t="str">
        <f>IFERROR(INDEX('Trade Log'!$F$5:$F$204,MATCH(A110,'Trade Log'!$A$5:$A$204,0)),"")</f>
        <v/>
      </c>
      <c r="H110" s="4" t="str">
        <f>IFERROR(INDEX('Trade Log'!$I$5:$I$204,MATCH(A110,'Trade Log'!$A$5:$A$204,0)),"")</f>
        <v/>
      </c>
      <c r="I110" s="7"/>
      <c r="J110" s="8"/>
      <c r="K110" s="8"/>
      <c r="L110" s="8"/>
      <c r="M110" s="2"/>
      <c r="N110" s="9" t="str">
        <f t="shared" si="5"/>
        <v/>
      </c>
      <c r="O110" s="9" t="str">
        <f t="shared" si="6"/>
        <v/>
      </c>
      <c r="P110" s="9" t="str">
        <f>IF(A110="","",O110-(I110*INDEX('Trade Log'!$P$5:$P$204,MATCH(A110,'Trade Log'!$A$5:$A$204,0))*100)-IFERROR(INDEX('Trade Log'!$Q$5:$Q$204,MATCH(A110,'Trade Log'!$A$5:$A$204,0))*I110/INDEX('Trade Log'!$O$5:$O$204,MATCH(A110,'Trade Log'!$A$5:$A$204,0)),0))</f>
        <v/>
      </c>
      <c r="Q110" s="12" t="str">
        <f>IFERROR(P110/(I110*INDEX('Trade Log'!$P$5:$P$204,MATCH(A110,'Trade Log'!$A$5:$A$204,0))*100+IFERROR(INDEX('Trade Log'!$Q$5:$Q$204,MATCH(A110,'Trade Log'!$A$5:$A$204,0))*I110/INDEX('Trade Log'!$O$5:$O$204,MATCH(A110,'Trade Log'!$A$5:$A$204,0)),0)),"")</f>
        <v/>
      </c>
      <c r="R110" s="10"/>
    </row>
    <row r="111" spans="1:18">
      <c r="A111" s="2"/>
      <c r="B111" s="4" t="str">
        <f>IF(A111="","",COUNTIF($A$5:A111,A111))</f>
        <v/>
      </c>
      <c r="C111" s="3"/>
      <c r="D111" s="4" t="str">
        <f t="shared" si="4"/>
        <v/>
      </c>
      <c r="E111" s="5"/>
      <c r="F111" s="2"/>
      <c r="G111" s="4" t="str">
        <f>IFERROR(INDEX('Trade Log'!$F$5:$F$204,MATCH(A111,'Trade Log'!$A$5:$A$204,0)),"")</f>
        <v/>
      </c>
      <c r="H111" s="4" t="str">
        <f>IFERROR(INDEX('Trade Log'!$I$5:$I$204,MATCH(A111,'Trade Log'!$A$5:$A$204,0)),"")</f>
        <v/>
      </c>
      <c r="I111" s="7"/>
      <c r="J111" s="8"/>
      <c r="K111" s="8"/>
      <c r="L111" s="8"/>
      <c r="M111" s="2"/>
      <c r="N111" s="9" t="str">
        <f t="shared" si="5"/>
        <v/>
      </c>
      <c r="O111" s="9" t="str">
        <f t="shared" si="6"/>
        <v/>
      </c>
      <c r="P111" s="9" t="str">
        <f>IF(A111="","",O111-(I111*INDEX('Trade Log'!$P$5:$P$204,MATCH(A111,'Trade Log'!$A$5:$A$204,0))*100)-IFERROR(INDEX('Trade Log'!$Q$5:$Q$204,MATCH(A111,'Trade Log'!$A$5:$A$204,0))*I111/INDEX('Trade Log'!$O$5:$O$204,MATCH(A111,'Trade Log'!$A$5:$A$204,0)),0))</f>
        <v/>
      </c>
      <c r="Q111" s="12" t="str">
        <f>IFERROR(P111/(I111*INDEX('Trade Log'!$P$5:$P$204,MATCH(A111,'Trade Log'!$A$5:$A$204,0))*100+IFERROR(INDEX('Trade Log'!$Q$5:$Q$204,MATCH(A111,'Trade Log'!$A$5:$A$204,0))*I111/INDEX('Trade Log'!$O$5:$O$204,MATCH(A111,'Trade Log'!$A$5:$A$204,0)),0)),"")</f>
        <v/>
      </c>
      <c r="R111" s="10"/>
    </row>
    <row r="112" spans="1:18">
      <c r="A112" s="2"/>
      <c r="B112" s="4" t="str">
        <f>IF(A112="","",COUNTIF($A$5:A112,A112))</f>
        <v/>
      </c>
      <c r="C112" s="3"/>
      <c r="D112" s="4" t="str">
        <f t="shared" si="4"/>
        <v/>
      </c>
      <c r="E112" s="5"/>
      <c r="F112" s="2"/>
      <c r="G112" s="4" t="str">
        <f>IFERROR(INDEX('Trade Log'!$F$5:$F$204,MATCH(A112,'Trade Log'!$A$5:$A$204,0)),"")</f>
        <v/>
      </c>
      <c r="H112" s="4" t="str">
        <f>IFERROR(INDEX('Trade Log'!$I$5:$I$204,MATCH(A112,'Trade Log'!$A$5:$A$204,0)),"")</f>
        <v/>
      </c>
      <c r="I112" s="7"/>
      <c r="J112" s="8"/>
      <c r="K112" s="8"/>
      <c r="L112" s="8"/>
      <c r="M112" s="2"/>
      <c r="N112" s="9" t="str">
        <f t="shared" si="5"/>
        <v/>
      </c>
      <c r="O112" s="9" t="str">
        <f t="shared" si="6"/>
        <v/>
      </c>
      <c r="P112" s="9" t="str">
        <f>IF(A112="","",O112-(I112*INDEX('Trade Log'!$P$5:$P$204,MATCH(A112,'Trade Log'!$A$5:$A$204,0))*100)-IFERROR(INDEX('Trade Log'!$Q$5:$Q$204,MATCH(A112,'Trade Log'!$A$5:$A$204,0))*I112/INDEX('Trade Log'!$O$5:$O$204,MATCH(A112,'Trade Log'!$A$5:$A$204,0)),0))</f>
        <v/>
      </c>
      <c r="Q112" s="12" t="str">
        <f>IFERROR(P112/(I112*INDEX('Trade Log'!$P$5:$P$204,MATCH(A112,'Trade Log'!$A$5:$A$204,0))*100+IFERROR(INDEX('Trade Log'!$Q$5:$Q$204,MATCH(A112,'Trade Log'!$A$5:$A$204,0))*I112/INDEX('Trade Log'!$O$5:$O$204,MATCH(A112,'Trade Log'!$A$5:$A$204,0)),0)),"")</f>
        <v/>
      </c>
      <c r="R112" s="10"/>
    </row>
    <row r="113" spans="1:18">
      <c r="A113" s="2"/>
      <c r="B113" s="4" t="str">
        <f>IF(A113="","",COUNTIF($A$5:A113,A113))</f>
        <v/>
      </c>
      <c r="C113" s="3"/>
      <c r="D113" s="4" t="str">
        <f t="shared" si="4"/>
        <v/>
      </c>
      <c r="E113" s="5"/>
      <c r="F113" s="2"/>
      <c r="G113" s="4" t="str">
        <f>IFERROR(INDEX('Trade Log'!$F$5:$F$204,MATCH(A113,'Trade Log'!$A$5:$A$204,0)),"")</f>
        <v/>
      </c>
      <c r="H113" s="4" t="str">
        <f>IFERROR(INDEX('Trade Log'!$I$5:$I$204,MATCH(A113,'Trade Log'!$A$5:$A$204,0)),"")</f>
        <v/>
      </c>
      <c r="I113" s="7"/>
      <c r="J113" s="8"/>
      <c r="K113" s="8"/>
      <c r="L113" s="8"/>
      <c r="M113" s="2"/>
      <c r="N113" s="9" t="str">
        <f t="shared" si="5"/>
        <v/>
      </c>
      <c r="O113" s="9" t="str">
        <f t="shared" si="6"/>
        <v/>
      </c>
      <c r="P113" s="9" t="str">
        <f>IF(A113="","",O113-(I113*INDEX('Trade Log'!$P$5:$P$204,MATCH(A113,'Trade Log'!$A$5:$A$204,0))*100)-IFERROR(INDEX('Trade Log'!$Q$5:$Q$204,MATCH(A113,'Trade Log'!$A$5:$A$204,0))*I113/INDEX('Trade Log'!$O$5:$O$204,MATCH(A113,'Trade Log'!$A$5:$A$204,0)),0))</f>
        <v/>
      </c>
      <c r="Q113" s="12" t="str">
        <f>IFERROR(P113/(I113*INDEX('Trade Log'!$P$5:$P$204,MATCH(A113,'Trade Log'!$A$5:$A$204,0))*100+IFERROR(INDEX('Trade Log'!$Q$5:$Q$204,MATCH(A113,'Trade Log'!$A$5:$A$204,0))*I113/INDEX('Trade Log'!$O$5:$O$204,MATCH(A113,'Trade Log'!$A$5:$A$204,0)),0)),"")</f>
        <v/>
      </c>
      <c r="R113" s="10"/>
    </row>
    <row r="114" spans="1:18">
      <c r="A114" s="2"/>
      <c r="B114" s="4" t="str">
        <f>IF(A114="","",COUNTIF($A$5:A114,A114))</f>
        <v/>
      </c>
      <c r="C114" s="3"/>
      <c r="D114" s="4" t="str">
        <f t="shared" si="4"/>
        <v/>
      </c>
      <c r="E114" s="5"/>
      <c r="F114" s="2"/>
      <c r="G114" s="4" t="str">
        <f>IFERROR(INDEX('Trade Log'!$F$5:$F$204,MATCH(A114,'Trade Log'!$A$5:$A$204,0)),"")</f>
        <v/>
      </c>
      <c r="H114" s="4" t="str">
        <f>IFERROR(INDEX('Trade Log'!$I$5:$I$204,MATCH(A114,'Trade Log'!$A$5:$A$204,0)),"")</f>
        <v/>
      </c>
      <c r="I114" s="7"/>
      <c r="J114" s="8"/>
      <c r="K114" s="8"/>
      <c r="L114" s="8"/>
      <c r="M114" s="2"/>
      <c r="N114" s="9" t="str">
        <f t="shared" si="5"/>
        <v/>
      </c>
      <c r="O114" s="9" t="str">
        <f t="shared" si="6"/>
        <v/>
      </c>
      <c r="P114" s="9" t="str">
        <f>IF(A114="","",O114-(I114*INDEX('Trade Log'!$P$5:$P$204,MATCH(A114,'Trade Log'!$A$5:$A$204,0))*100)-IFERROR(INDEX('Trade Log'!$Q$5:$Q$204,MATCH(A114,'Trade Log'!$A$5:$A$204,0))*I114/INDEX('Trade Log'!$O$5:$O$204,MATCH(A114,'Trade Log'!$A$5:$A$204,0)),0))</f>
        <v/>
      </c>
      <c r="Q114" s="12" t="str">
        <f>IFERROR(P114/(I114*INDEX('Trade Log'!$P$5:$P$204,MATCH(A114,'Trade Log'!$A$5:$A$204,0))*100+IFERROR(INDEX('Trade Log'!$Q$5:$Q$204,MATCH(A114,'Trade Log'!$A$5:$A$204,0))*I114/INDEX('Trade Log'!$O$5:$O$204,MATCH(A114,'Trade Log'!$A$5:$A$204,0)),0)),"")</f>
        <v/>
      </c>
      <c r="R114" s="10"/>
    </row>
    <row r="115" spans="1:18">
      <c r="A115" s="2"/>
      <c r="B115" s="4" t="str">
        <f>IF(A115="","",COUNTIF($A$5:A115,A115))</f>
        <v/>
      </c>
      <c r="C115" s="3"/>
      <c r="D115" s="4" t="str">
        <f t="shared" si="4"/>
        <v/>
      </c>
      <c r="E115" s="5"/>
      <c r="F115" s="2"/>
      <c r="G115" s="4" t="str">
        <f>IFERROR(INDEX('Trade Log'!$F$5:$F$204,MATCH(A115,'Trade Log'!$A$5:$A$204,0)),"")</f>
        <v/>
      </c>
      <c r="H115" s="4" t="str">
        <f>IFERROR(INDEX('Trade Log'!$I$5:$I$204,MATCH(A115,'Trade Log'!$A$5:$A$204,0)),"")</f>
        <v/>
      </c>
      <c r="I115" s="7"/>
      <c r="J115" s="8"/>
      <c r="K115" s="8"/>
      <c r="L115" s="8"/>
      <c r="M115" s="2"/>
      <c r="N115" s="9" t="str">
        <f t="shared" si="5"/>
        <v/>
      </c>
      <c r="O115" s="9" t="str">
        <f t="shared" si="6"/>
        <v/>
      </c>
      <c r="P115" s="9" t="str">
        <f>IF(A115="","",O115-(I115*INDEX('Trade Log'!$P$5:$P$204,MATCH(A115,'Trade Log'!$A$5:$A$204,0))*100)-IFERROR(INDEX('Trade Log'!$Q$5:$Q$204,MATCH(A115,'Trade Log'!$A$5:$A$204,0))*I115/INDEX('Trade Log'!$O$5:$O$204,MATCH(A115,'Trade Log'!$A$5:$A$204,0)),0))</f>
        <v/>
      </c>
      <c r="Q115" s="12" t="str">
        <f>IFERROR(P115/(I115*INDEX('Trade Log'!$P$5:$P$204,MATCH(A115,'Trade Log'!$A$5:$A$204,0))*100+IFERROR(INDEX('Trade Log'!$Q$5:$Q$204,MATCH(A115,'Trade Log'!$A$5:$A$204,0))*I115/INDEX('Trade Log'!$O$5:$O$204,MATCH(A115,'Trade Log'!$A$5:$A$204,0)),0)),"")</f>
        <v/>
      </c>
      <c r="R115" s="10"/>
    </row>
    <row r="116" spans="1:18">
      <c r="A116" s="2"/>
      <c r="B116" s="4" t="str">
        <f>IF(A116="","",COUNTIF($A$5:A116,A116))</f>
        <v/>
      </c>
      <c r="C116" s="3"/>
      <c r="D116" s="4" t="str">
        <f t="shared" si="4"/>
        <v/>
      </c>
      <c r="E116" s="5"/>
      <c r="F116" s="2"/>
      <c r="G116" s="4" t="str">
        <f>IFERROR(INDEX('Trade Log'!$F$5:$F$204,MATCH(A116,'Trade Log'!$A$5:$A$204,0)),"")</f>
        <v/>
      </c>
      <c r="H116" s="4" t="str">
        <f>IFERROR(INDEX('Trade Log'!$I$5:$I$204,MATCH(A116,'Trade Log'!$A$5:$A$204,0)),"")</f>
        <v/>
      </c>
      <c r="I116" s="7"/>
      <c r="J116" s="8"/>
      <c r="K116" s="8"/>
      <c r="L116" s="8"/>
      <c r="M116" s="2"/>
      <c r="N116" s="9" t="str">
        <f t="shared" si="5"/>
        <v/>
      </c>
      <c r="O116" s="9" t="str">
        <f t="shared" si="6"/>
        <v/>
      </c>
      <c r="P116" s="9" t="str">
        <f>IF(A116="","",O116-(I116*INDEX('Trade Log'!$P$5:$P$204,MATCH(A116,'Trade Log'!$A$5:$A$204,0))*100)-IFERROR(INDEX('Trade Log'!$Q$5:$Q$204,MATCH(A116,'Trade Log'!$A$5:$A$204,0))*I116/INDEX('Trade Log'!$O$5:$O$204,MATCH(A116,'Trade Log'!$A$5:$A$204,0)),0))</f>
        <v/>
      </c>
      <c r="Q116" s="12" t="str">
        <f>IFERROR(P116/(I116*INDEX('Trade Log'!$P$5:$P$204,MATCH(A116,'Trade Log'!$A$5:$A$204,0))*100+IFERROR(INDEX('Trade Log'!$Q$5:$Q$204,MATCH(A116,'Trade Log'!$A$5:$A$204,0))*I116/INDEX('Trade Log'!$O$5:$O$204,MATCH(A116,'Trade Log'!$A$5:$A$204,0)),0)),"")</f>
        <v/>
      </c>
      <c r="R116" s="10"/>
    </row>
    <row r="117" spans="1:18">
      <c r="A117" s="2"/>
      <c r="B117" s="4" t="str">
        <f>IF(A117="","",COUNTIF($A$5:A117,A117))</f>
        <v/>
      </c>
      <c r="C117" s="3"/>
      <c r="D117" s="4" t="str">
        <f t="shared" si="4"/>
        <v/>
      </c>
      <c r="E117" s="5"/>
      <c r="F117" s="2"/>
      <c r="G117" s="4" t="str">
        <f>IFERROR(INDEX('Trade Log'!$F$5:$F$204,MATCH(A117,'Trade Log'!$A$5:$A$204,0)),"")</f>
        <v/>
      </c>
      <c r="H117" s="4" t="str">
        <f>IFERROR(INDEX('Trade Log'!$I$5:$I$204,MATCH(A117,'Trade Log'!$A$5:$A$204,0)),"")</f>
        <v/>
      </c>
      <c r="I117" s="7"/>
      <c r="J117" s="8"/>
      <c r="K117" s="8"/>
      <c r="L117" s="8"/>
      <c r="M117" s="2"/>
      <c r="N117" s="9" t="str">
        <f t="shared" si="5"/>
        <v/>
      </c>
      <c r="O117" s="9" t="str">
        <f t="shared" si="6"/>
        <v/>
      </c>
      <c r="P117" s="9" t="str">
        <f>IF(A117="","",O117-(I117*INDEX('Trade Log'!$P$5:$P$204,MATCH(A117,'Trade Log'!$A$5:$A$204,0))*100)-IFERROR(INDEX('Trade Log'!$Q$5:$Q$204,MATCH(A117,'Trade Log'!$A$5:$A$204,0))*I117/INDEX('Trade Log'!$O$5:$O$204,MATCH(A117,'Trade Log'!$A$5:$A$204,0)),0))</f>
        <v/>
      </c>
      <c r="Q117" s="12" t="str">
        <f>IFERROR(P117/(I117*INDEX('Trade Log'!$P$5:$P$204,MATCH(A117,'Trade Log'!$A$5:$A$204,0))*100+IFERROR(INDEX('Trade Log'!$Q$5:$Q$204,MATCH(A117,'Trade Log'!$A$5:$A$204,0))*I117/INDEX('Trade Log'!$O$5:$O$204,MATCH(A117,'Trade Log'!$A$5:$A$204,0)),0)),"")</f>
        <v/>
      </c>
      <c r="R117" s="10"/>
    </row>
    <row r="118" spans="1:18">
      <c r="A118" s="2"/>
      <c r="B118" s="4" t="str">
        <f>IF(A118="","",COUNTIF($A$5:A118,A118))</f>
        <v/>
      </c>
      <c r="C118" s="3"/>
      <c r="D118" s="4" t="str">
        <f t="shared" si="4"/>
        <v/>
      </c>
      <c r="E118" s="5"/>
      <c r="F118" s="2"/>
      <c r="G118" s="4" t="str">
        <f>IFERROR(INDEX('Trade Log'!$F$5:$F$204,MATCH(A118,'Trade Log'!$A$5:$A$204,0)),"")</f>
        <v/>
      </c>
      <c r="H118" s="4" t="str">
        <f>IFERROR(INDEX('Trade Log'!$I$5:$I$204,MATCH(A118,'Trade Log'!$A$5:$A$204,0)),"")</f>
        <v/>
      </c>
      <c r="I118" s="7"/>
      <c r="J118" s="8"/>
      <c r="K118" s="8"/>
      <c r="L118" s="8"/>
      <c r="M118" s="2"/>
      <c r="N118" s="9" t="str">
        <f t="shared" si="5"/>
        <v/>
      </c>
      <c r="O118" s="9" t="str">
        <f t="shared" si="6"/>
        <v/>
      </c>
      <c r="P118" s="9" t="str">
        <f>IF(A118="","",O118-(I118*INDEX('Trade Log'!$P$5:$P$204,MATCH(A118,'Trade Log'!$A$5:$A$204,0))*100)-IFERROR(INDEX('Trade Log'!$Q$5:$Q$204,MATCH(A118,'Trade Log'!$A$5:$A$204,0))*I118/INDEX('Trade Log'!$O$5:$O$204,MATCH(A118,'Trade Log'!$A$5:$A$204,0)),0))</f>
        <v/>
      </c>
      <c r="Q118" s="12" t="str">
        <f>IFERROR(P118/(I118*INDEX('Trade Log'!$P$5:$P$204,MATCH(A118,'Trade Log'!$A$5:$A$204,0))*100+IFERROR(INDEX('Trade Log'!$Q$5:$Q$204,MATCH(A118,'Trade Log'!$A$5:$A$204,0))*I118/INDEX('Trade Log'!$O$5:$O$204,MATCH(A118,'Trade Log'!$A$5:$A$204,0)),0)),"")</f>
        <v/>
      </c>
      <c r="R118" s="10"/>
    </row>
    <row r="119" spans="1:18">
      <c r="A119" s="2"/>
      <c r="B119" s="4" t="str">
        <f>IF(A119="","",COUNTIF($A$5:A119,A119))</f>
        <v/>
      </c>
      <c r="C119" s="3"/>
      <c r="D119" s="4" t="str">
        <f t="shared" si="4"/>
        <v/>
      </c>
      <c r="E119" s="5"/>
      <c r="F119" s="2"/>
      <c r="G119" s="4" t="str">
        <f>IFERROR(INDEX('Trade Log'!$F$5:$F$204,MATCH(A119,'Trade Log'!$A$5:$A$204,0)),"")</f>
        <v/>
      </c>
      <c r="H119" s="4" t="str">
        <f>IFERROR(INDEX('Trade Log'!$I$5:$I$204,MATCH(A119,'Trade Log'!$A$5:$A$204,0)),"")</f>
        <v/>
      </c>
      <c r="I119" s="7"/>
      <c r="J119" s="8"/>
      <c r="K119" s="8"/>
      <c r="L119" s="8"/>
      <c r="M119" s="2"/>
      <c r="N119" s="9" t="str">
        <f t="shared" si="5"/>
        <v/>
      </c>
      <c r="O119" s="9" t="str">
        <f t="shared" si="6"/>
        <v/>
      </c>
      <c r="P119" s="9" t="str">
        <f>IF(A119="","",O119-(I119*INDEX('Trade Log'!$P$5:$P$204,MATCH(A119,'Trade Log'!$A$5:$A$204,0))*100)-IFERROR(INDEX('Trade Log'!$Q$5:$Q$204,MATCH(A119,'Trade Log'!$A$5:$A$204,0))*I119/INDEX('Trade Log'!$O$5:$O$204,MATCH(A119,'Trade Log'!$A$5:$A$204,0)),0))</f>
        <v/>
      </c>
      <c r="Q119" s="12" t="str">
        <f>IFERROR(P119/(I119*INDEX('Trade Log'!$P$5:$P$204,MATCH(A119,'Trade Log'!$A$5:$A$204,0))*100+IFERROR(INDEX('Trade Log'!$Q$5:$Q$204,MATCH(A119,'Trade Log'!$A$5:$A$204,0))*I119/INDEX('Trade Log'!$O$5:$O$204,MATCH(A119,'Trade Log'!$A$5:$A$204,0)),0)),"")</f>
        <v/>
      </c>
      <c r="R119" s="10"/>
    </row>
    <row r="120" spans="1:18">
      <c r="A120" s="2"/>
      <c r="B120" s="4" t="str">
        <f>IF(A120="","",COUNTIF($A$5:A120,A120))</f>
        <v/>
      </c>
      <c r="C120" s="3"/>
      <c r="D120" s="4" t="str">
        <f t="shared" si="4"/>
        <v/>
      </c>
      <c r="E120" s="5"/>
      <c r="F120" s="2"/>
      <c r="G120" s="4" t="str">
        <f>IFERROR(INDEX('Trade Log'!$F$5:$F$204,MATCH(A120,'Trade Log'!$A$5:$A$204,0)),"")</f>
        <v/>
      </c>
      <c r="H120" s="4" t="str">
        <f>IFERROR(INDEX('Trade Log'!$I$5:$I$204,MATCH(A120,'Trade Log'!$A$5:$A$204,0)),"")</f>
        <v/>
      </c>
      <c r="I120" s="7"/>
      <c r="J120" s="8"/>
      <c r="K120" s="8"/>
      <c r="L120" s="8"/>
      <c r="M120" s="2"/>
      <c r="N120" s="9" t="str">
        <f t="shared" si="5"/>
        <v/>
      </c>
      <c r="O120" s="9" t="str">
        <f t="shared" si="6"/>
        <v/>
      </c>
      <c r="P120" s="9" t="str">
        <f>IF(A120="","",O120-(I120*INDEX('Trade Log'!$P$5:$P$204,MATCH(A120,'Trade Log'!$A$5:$A$204,0))*100)-IFERROR(INDEX('Trade Log'!$Q$5:$Q$204,MATCH(A120,'Trade Log'!$A$5:$A$204,0))*I120/INDEX('Trade Log'!$O$5:$O$204,MATCH(A120,'Trade Log'!$A$5:$A$204,0)),0))</f>
        <v/>
      </c>
      <c r="Q120" s="12" t="str">
        <f>IFERROR(P120/(I120*INDEX('Trade Log'!$P$5:$P$204,MATCH(A120,'Trade Log'!$A$5:$A$204,0))*100+IFERROR(INDEX('Trade Log'!$Q$5:$Q$204,MATCH(A120,'Trade Log'!$A$5:$A$204,0))*I120/INDEX('Trade Log'!$O$5:$O$204,MATCH(A120,'Trade Log'!$A$5:$A$204,0)),0)),"")</f>
        <v/>
      </c>
      <c r="R120" s="10"/>
    </row>
    <row r="121" spans="1:18">
      <c r="A121" s="2"/>
      <c r="B121" s="4" t="str">
        <f>IF(A121="","",COUNTIF($A$5:A121,A121))</f>
        <v/>
      </c>
      <c r="C121" s="3"/>
      <c r="D121" s="4" t="str">
        <f t="shared" si="4"/>
        <v/>
      </c>
      <c r="E121" s="5"/>
      <c r="F121" s="2"/>
      <c r="G121" s="4" t="str">
        <f>IFERROR(INDEX('Trade Log'!$F$5:$F$204,MATCH(A121,'Trade Log'!$A$5:$A$204,0)),"")</f>
        <v/>
      </c>
      <c r="H121" s="4" t="str">
        <f>IFERROR(INDEX('Trade Log'!$I$5:$I$204,MATCH(A121,'Trade Log'!$A$5:$A$204,0)),"")</f>
        <v/>
      </c>
      <c r="I121" s="7"/>
      <c r="J121" s="8"/>
      <c r="K121" s="8"/>
      <c r="L121" s="8"/>
      <c r="M121" s="2"/>
      <c r="N121" s="9" t="str">
        <f t="shared" si="5"/>
        <v/>
      </c>
      <c r="O121" s="9" t="str">
        <f t="shared" si="6"/>
        <v/>
      </c>
      <c r="P121" s="9" t="str">
        <f>IF(A121="","",O121-(I121*INDEX('Trade Log'!$P$5:$P$204,MATCH(A121,'Trade Log'!$A$5:$A$204,0))*100)-IFERROR(INDEX('Trade Log'!$Q$5:$Q$204,MATCH(A121,'Trade Log'!$A$5:$A$204,0))*I121/INDEX('Trade Log'!$O$5:$O$204,MATCH(A121,'Trade Log'!$A$5:$A$204,0)),0))</f>
        <v/>
      </c>
      <c r="Q121" s="12" t="str">
        <f>IFERROR(P121/(I121*INDEX('Trade Log'!$P$5:$P$204,MATCH(A121,'Trade Log'!$A$5:$A$204,0))*100+IFERROR(INDEX('Trade Log'!$Q$5:$Q$204,MATCH(A121,'Trade Log'!$A$5:$A$204,0))*I121/INDEX('Trade Log'!$O$5:$O$204,MATCH(A121,'Trade Log'!$A$5:$A$204,0)),0)),"")</f>
        <v/>
      </c>
      <c r="R121" s="10"/>
    </row>
    <row r="122" spans="1:18">
      <c r="A122" s="2"/>
      <c r="B122" s="4" t="str">
        <f>IF(A122="","",COUNTIF($A$5:A122,A122))</f>
        <v/>
      </c>
      <c r="C122" s="3"/>
      <c r="D122" s="4" t="str">
        <f t="shared" si="4"/>
        <v/>
      </c>
      <c r="E122" s="5"/>
      <c r="F122" s="2"/>
      <c r="G122" s="4" t="str">
        <f>IFERROR(INDEX('Trade Log'!$F$5:$F$204,MATCH(A122,'Trade Log'!$A$5:$A$204,0)),"")</f>
        <v/>
      </c>
      <c r="H122" s="4" t="str">
        <f>IFERROR(INDEX('Trade Log'!$I$5:$I$204,MATCH(A122,'Trade Log'!$A$5:$A$204,0)),"")</f>
        <v/>
      </c>
      <c r="I122" s="7"/>
      <c r="J122" s="8"/>
      <c r="K122" s="8"/>
      <c r="L122" s="8"/>
      <c r="M122" s="2"/>
      <c r="N122" s="9" t="str">
        <f t="shared" si="5"/>
        <v/>
      </c>
      <c r="O122" s="9" t="str">
        <f t="shared" si="6"/>
        <v/>
      </c>
      <c r="P122" s="9" t="str">
        <f>IF(A122="","",O122-(I122*INDEX('Trade Log'!$P$5:$P$204,MATCH(A122,'Trade Log'!$A$5:$A$204,0))*100)-IFERROR(INDEX('Trade Log'!$Q$5:$Q$204,MATCH(A122,'Trade Log'!$A$5:$A$204,0))*I122/INDEX('Trade Log'!$O$5:$O$204,MATCH(A122,'Trade Log'!$A$5:$A$204,0)),0))</f>
        <v/>
      </c>
      <c r="Q122" s="12" t="str">
        <f>IFERROR(P122/(I122*INDEX('Trade Log'!$P$5:$P$204,MATCH(A122,'Trade Log'!$A$5:$A$204,0))*100+IFERROR(INDEX('Trade Log'!$Q$5:$Q$204,MATCH(A122,'Trade Log'!$A$5:$A$204,0))*I122/INDEX('Trade Log'!$O$5:$O$204,MATCH(A122,'Trade Log'!$A$5:$A$204,0)),0)),"")</f>
        <v/>
      </c>
      <c r="R122" s="10"/>
    </row>
    <row r="123" spans="1:18">
      <c r="A123" s="2"/>
      <c r="B123" s="4" t="str">
        <f>IF(A123="","",COUNTIF($A$5:A123,A123))</f>
        <v/>
      </c>
      <c r="C123" s="3"/>
      <c r="D123" s="4" t="str">
        <f t="shared" si="4"/>
        <v/>
      </c>
      <c r="E123" s="5"/>
      <c r="F123" s="2"/>
      <c r="G123" s="4" t="str">
        <f>IFERROR(INDEX('Trade Log'!$F$5:$F$204,MATCH(A123,'Trade Log'!$A$5:$A$204,0)),"")</f>
        <v/>
      </c>
      <c r="H123" s="4" t="str">
        <f>IFERROR(INDEX('Trade Log'!$I$5:$I$204,MATCH(A123,'Trade Log'!$A$5:$A$204,0)),"")</f>
        <v/>
      </c>
      <c r="I123" s="7"/>
      <c r="J123" s="8"/>
      <c r="K123" s="8"/>
      <c r="L123" s="8"/>
      <c r="M123" s="2"/>
      <c r="N123" s="9" t="str">
        <f t="shared" si="5"/>
        <v/>
      </c>
      <c r="O123" s="9" t="str">
        <f t="shared" si="6"/>
        <v/>
      </c>
      <c r="P123" s="9" t="str">
        <f>IF(A123="","",O123-(I123*INDEX('Trade Log'!$P$5:$P$204,MATCH(A123,'Trade Log'!$A$5:$A$204,0))*100)-IFERROR(INDEX('Trade Log'!$Q$5:$Q$204,MATCH(A123,'Trade Log'!$A$5:$A$204,0))*I123/INDEX('Trade Log'!$O$5:$O$204,MATCH(A123,'Trade Log'!$A$5:$A$204,0)),0))</f>
        <v/>
      </c>
      <c r="Q123" s="12" t="str">
        <f>IFERROR(P123/(I123*INDEX('Trade Log'!$P$5:$P$204,MATCH(A123,'Trade Log'!$A$5:$A$204,0))*100+IFERROR(INDEX('Trade Log'!$Q$5:$Q$204,MATCH(A123,'Trade Log'!$A$5:$A$204,0))*I123/INDEX('Trade Log'!$O$5:$O$204,MATCH(A123,'Trade Log'!$A$5:$A$204,0)),0)),"")</f>
        <v/>
      </c>
      <c r="R123" s="10"/>
    </row>
    <row r="124" spans="1:18">
      <c r="A124" s="2"/>
      <c r="B124" s="4" t="str">
        <f>IF(A124="","",COUNTIF($A$5:A124,A124))</f>
        <v/>
      </c>
      <c r="C124" s="3"/>
      <c r="D124" s="4" t="str">
        <f t="shared" si="4"/>
        <v/>
      </c>
      <c r="E124" s="5"/>
      <c r="F124" s="2"/>
      <c r="G124" s="4" t="str">
        <f>IFERROR(INDEX('Trade Log'!$F$5:$F$204,MATCH(A124,'Trade Log'!$A$5:$A$204,0)),"")</f>
        <v/>
      </c>
      <c r="H124" s="4" t="str">
        <f>IFERROR(INDEX('Trade Log'!$I$5:$I$204,MATCH(A124,'Trade Log'!$A$5:$A$204,0)),"")</f>
        <v/>
      </c>
      <c r="I124" s="7"/>
      <c r="J124" s="8"/>
      <c r="K124" s="8"/>
      <c r="L124" s="8"/>
      <c r="M124" s="2"/>
      <c r="N124" s="9" t="str">
        <f t="shared" si="5"/>
        <v/>
      </c>
      <c r="O124" s="9" t="str">
        <f t="shared" si="6"/>
        <v/>
      </c>
      <c r="P124" s="9" t="str">
        <f>IF(A124="","",O124-(I124*INDEX('Trade Log'!$P$5:$P$204,MATCH(A124,'Trade Log'!$A$5:$A$204,0))*100)-IFERROR(INDEX('Trade Log'!$Q$5:$Q$204,MATCH(A124,'Trade Log'!$A$5:$A$204,0))*I124/INDEX('Trade Log'!$O$5:$O$204,MATCH(A124,'Trade Log'!$A$5:$A$204,0)),0))</f>
        <v/>
      </c>
      <c r="Q124" s="12" t="str">
        <f>IFERROR(P124/(I124*INDEX('Trade Log'!$P$5:$P$204,MATCH(A124,'Trade Log'!$A$5:$A$204,0))*100+IFERROR(INDEX('Trade Log'!$Q$5:$Q$204,MATCH(A124,'Trade Log'!$A$5:$A$204,0))*I124/INDEX('Trade Log'!$O$5:$O$204,MATCH(A124,'Trade Log'!$A$5:$A$204,0)),0)),"")</f>
        <v/>
      </c>
      <c r="R124" s="10"/>
    </row>
    <row r="125" spans="1:18">
      <c r="A125" s="2"/>
      <c r="B125" s="4" t="str">
        <f>IF(A125="","",COUNTIF($A$5:A125,A125))</f>
        <v/>
      </c>
      <c r="C125" s="3"/>
      <c r="D125" s="4" t="str">
        <f t="shared" si="4"/>
        <v/>
      </c>
      <c r="E125" s="5"/>
      <c r="F125" s="2"/>
      <c r="G125" s="4" t="str">
        <f>IFERROR(INDEX('Trade Log'!$F$5:$F$204,MATCH(A125,'Trade Log'!$A$5:$A$204,0)),"")</f>
        <v/>
      </c>
      <c r="H125" s="4" t="str">
        <f>IFERROR(INDEX('Trade Log'!$I$5:$I$204,MATCH(A125,'Trade Log'!$A$5:$A$204,0)),"")</f>
        <v/>
      </c>
      <c r="I125" s="7"/>
      <c r="J125" s="8"/>
      <c r="K125" s="8"/>
      <c r="L125" s="8"/>
      <c r="M125" s="2"/>
      <c r="N125" s="9" t="str">
        <f t="shared" si="5"/>
        <v/>
      </c>
      <c r="O125" s="9" t="str">
        <f t="shared" si="6"/>
        <v/>
      </c>
      <c r="P125" s="9" t="str">
        <f>IF(A125="","",O125-(I125*INDEX('Trade Log'!$P$5:$P$204,MATCH(A125,'Trade Log'!$A$5:$A$204,0))*100)-IFERROR(INDEX('Trade Log'!$Q$5:$Q$204,MATCH(A125,'Trade Log'!$A$5:$A$204,0))*I125/INDEX('Trade Log'!$O$5:$O$204,MATCH(A125,'Trade Log'!$A$5:$A$204,0)),0))</f>
        <v/>
      </c>
      <c r="Q125" s="12" t="str">
        <f>IFERROR(P125/(I125*INDEX('Trade Log'!$P$5:$P$204,MATCH(A125,'Trade Log'!$A$5:$A$204,0))*100+IFERROR(INDEX('Trade Log'!$Q$5:$Q$204,MATCH(A125,'Trade Log'!$A$5:$A$204,0))*I125/INDEX('Trade Log'!$O$5:$O$204,MATCH(A125,'Trade Log'!$A$5:$A$204,0)),0)),"")</f>
        <v/>
      </c>
      <c r="R125" s="10"/>
    </row>
    <row r="126" spans="1:18">
      <c r="A126" s="2"/>
      <c r="B126" s="4" t="str">
        <f>IF(A126="","",COUNTIF($A$5:A126,A126))</f>
        <v/>
      </c>
      <c r="C126" s="3"/>
      <c r="D126" s="4" t="str">
        <f t="shared" si="4"/>
        <v/>
      </c>
      <c r="E126" s="5"/>
      <c r="F126" s="2"/>
      <c r="G126" s="4" t="str">
        <f>IFERROR(INDEX('Trade Log'!$F$5:$F$204,MATCH(A126,'Trade Log'!$A$5:$A$204,0)),"")</f>
        <v/>
      </c>
      <c r="H126" s="4" t="str">
        <f>IFERROR(INDEX('Trade Log'!$I$5:$I$204,MATCH(A126,'Trade Log'!$A$5:$A$204,0)),"")</f>
        <v/>
      </c>
      <c r="I126" s="7"/>
      <c r="J126" s="8"/>
      <c r="K126" s="8"/>
      <c r="L126" s="8"/>
      <c r="M126" s="2"/>
      <c r="N126" s="9" t="str">
        <f t="shared" si="5"/>
        <v/>
      </c>
      <c r="O126" s="9" t="str">
        <f t="shared" si="6"/>
        <v/>
      </c>
      <c r="P126" s="9" t="str">
        <f>IF(A126="","",O126-(I126*INDEX('Trade Log'!$P$5:$P$204,MATCH(A126,'Trade Log'!$A$5:$A$204,0))*100)-IFERROR(INDEX('Trade Log'!$Q$5:$Q$204,MATCH(A126,'Trade Log'!$A$5:$A$204,0))*I126/INDEX('Trade Log'!$O$5:$O$204,MATCH(A126,'Trade Log'!$A$5:$A$204,0)),0))</f>
        <v/>
      </c>
      <c r="Q126" s="12" t="str">
        <f>IFERROR(P126/(I126*INDEX('Trade Log'!$P$5:$P$204,MATCH(A126,'Trade Log'!$A$5:$A$204,0))*100+IFERROR(INDEX('Trade Log'!$Q$5:$Q$204,MATCH(A126,'Trade Log'!$A$5:$A$204,0))*I126/INDEX('Trade Log'!$O$5:$O$204,MATCH(A126,'Trade Log'!$A$5:$A$204,0)),0)),"")</f>
        <v/>
      </c>
      <c r="R126" s="10"/>
    </row>
    <row r="127" spans="1:18">
      <c r="A127" s="2"/>
      <c r="B127" s="4" t="str">
        <f>IF(A127="","",COUNTIF($A$5:A127,A127))</f>
        <v/>
      </c>
      <c r="C127" s="3"/>
      <c r="D127" s="4" t="str">
        <f t="shared" si="4"/>
        <v/>
      </c>
      <c r="E127" s="5"/>
      <c r="F127" s="2"/>
      <c r="G127" s="4" t="str">
        <f>IFERROR(INDEX('Trade Log'!$F$5:$F$204,MATCH(A127,'Trade Log'!$A$5:$A$204,0)),"")</f>
        <v/>
      </c>
      <c r="H127" s="4" t="str">
        <f>IFERROR(INDEX('Trade Log'!$I$5:$I$204,MATCH(A127,'Trade Log'!$A$5:$A$204,0)),"")</f>
        <v/>
      </c>
      <c r="I127" s="7"/>
      <c r="J127" s="8"/>
      <c r="K127" s="8"/>
      <c r="L127" s="8"/>
      <c r="M127" s="2"/>
      <c r="N127" s="9" t="str">
        <f t="shared" si="5"/>
        <v/>
      </c>
      <c r="O127" s="9" t="str">
        <f t="shared" si="6"/>
        <v/>
      </c>
      <c r="P127" s="9" t="str">
        <f>IF(A127="","",O127-(I127*INDEX('Trade Log'!$P$5:$P$204,MATCH(A127,'Trade Log'!$A$5:$A$204,0))*100)-IFERROR(INDEX('Trade Log'!$Q$5:$Q$204,MATCH(A127,'Trade Log'!$A$5:$A$204,0))*I127/INDEX('Trade Log'!$O$5:$O$204,MATCH(A127,'Trade Log'!$A$5:$A$204,0)),0))</f>
        <v/>
      </c>
      <c r="Q127" s="12" t="str">
        <f>IFERROR(P127/(I127*INDEX('Trade Log'!$P$5:$P$204,MATCH(A127,'Trade Log'!$A$5:$A$204,0))*100+IFERROR(INDEX('Trade Log'!$Q$5:$Q$204,MATCH(A127,'Trade Log'!$A$5:$A$204,0))*I127/INDEX('Trade Log'!$O$5:$O$204,MATCH(A127,'Trade Log'!$A$5:$A$204,0)),0)),"")</f>
        <v/>
      </c>
      <c r="R127" s="10"/>
    </row>
    <row r="128" spans="1:18">
      <c r="A128" s="2"/>
      <c r="B128" s="4" t="str">
        <f>IF(A128="","",COUNTIF($A$5:A128,A128))</f>
        <v/>
      </c>
      <c r="C128" s="3"/>
      <c r="D128" s="4" t="str">
        <f t="shared" si="4"/>
        <v/>
      </c>
      <c r="E128" s="5"/>
      <c r="F128" s="2"/>
      <c r="G128" s="4" t="str">
        <f>IFERROR(INDEX('Trade Log'!$F$5:$F$204,MATCH(A128,'Trade Log'!$A$5:$A$204,0)),"")</f>
        <v/>
      </c>
      <c r="H128" s="4" t="str">
        <f>IFERROR(INDEX('Trade Log'!$I$5:$I$204,MATCH(A128,'Trade Log'!$A$5:$A$204,0)),"")</f>
        <v/>
      </c>
      <c r="I128" s="7"/>
      <c r="J128" s="8"/>
      <c r="K128" s="8"/>
      <c r="L128" s="8"/>
      <c r="M128" s="2"/>
      <c r="N128" s="9" t="str">
        <f t="shared" si="5"/>
        <v/>
      </c>
      <c r="O128" s="9" t="str">
        <f t="shared" si="6"/>
        <v/>
      </c>
      <c r="P128" s="9" t="str">
        <f>IF(A128="","",O128-(I128*INDEX('Trade Log'!$P$5:$P$204,MATCH(A128,'Trade Log'!$A$5:$A$204,0))*100)-IFERROR(INDEX('Trade Log'!$Q$5:$Q$204,MATCH(A128,'Trade Log'!$A$5:$A$204,0))*I128/INDEX('Trade Log'!$O$5:$O$204,MATCH(A128,'Trade Log'!$A$5:$A$204,0)),0))</f>
        <v/>
      </c>
      <c r="Q128" s="12" t="str">
        <f>IFERROR(P128/(I128*INDEX('Trade Log'!$P$5:$P$204,MATCH(A128,'Trade Log'!$A$5:$A$204,0))*100+IFERROR(INDEX('Trade Log'!$Q$5:$Q$204,MATCH(A128,'Trade Log'!$A$5:$A$204,0))*I128/INDEX('Trade Log'!$O$5:$O$204,MATCH(A128,'Trade Log'!$A$5:$A$204,0)),0)),"")</f>
        <v/>
      </c>
      <c r="R128" s="10"/>
    </row>
    <row r="129" spans="1:18">
      <c r="A129" s="2"/>
      <c r="B129" s="4" t="str">
        <f>IF(A129="","",COUNTIF($A$5:A129,A129))</f>
        <v/>
      </c>
      <c r="C129" s="3"/>
      <c r="D129" s="4" t="str">
        <f t="shared" si="4"/>
        <v/>
      </c>
      <c r="E129" s="5"/>
      <c r="F129" s="2"/>
      <c r="G129" s="4" t="str">
        <f>IFERROR(INDEX('Trade Log'!$F$5:$F$204,MATCH(A129,'Trade Log'!$A$5:$A$204,0)),"")</f>
        <v/>
      </c>
      <c r="H129" s="4" t="str">
        <f>IFERROR(INDEX('Trade Log'!$I$5:$I$204,MATCH(A129,'Trade Log'!$A$5:$A$204,0)),"")</f>
        <v/>
      </c>
      <c r="I129" s="7"/>
      <c r="J129" s="8"/>
      <c r="K129" s="8"/>
      <c r="L129" s="8"/>
      <c r="M129" s="2"/>
      <c r="N129" s="9" t="str">
        <f t="shared" si="5"/>
        <v/>
      </c>
      <c r="O129" s="9" t="str">
        <f t="shared" si="6"/>
        <v/>
      </c>
      <c r="P129" s="9" t="str">
        <f>IF(A129="","",O129-(I129*INDEX('Trade Log'!$P$5:$P$204,MATCH(A129,'Trade Log'!$A$5:$A$204,0))*100)-IFERROR(INDEX('Trade Log'!$Q$5:$Q$204,MATCH(A129,'Trade Log'!$A$5:$A$204,0))*I129/INDEX('Trade Log'!$O$5:$O$204,MATCH(A129,'Trade Log'!$A$5:$A$204,0)),0))</f>
        <v/>
      </c>
      <c r="Q129" s="12" t="str">
        <f>IFERROR(P129/(I129*INDEX('Trade Log'!$P$5:$P$204,MATCH(A129,'Trade Log'!$A$5:$A$204,0))*100+IFERROR(INDEX('Trade Log'!$Q$5:$Q$204,MATCH(A129,'Trade Log'!$A$5:$A$204,0))*I129/INDEX('Trade Log'!$O$5:$O$204,MATCH(A129,'Trade Log'!$A$5:$A$204,0)),0)),"")</f>
        <v/>
      </c>
      <c r="R129" s="10"/>
    </row>
    <row r="130" spans="1:18">
      <c r="A130" s="2"/>
      <c r="B130" s="4" t="str">
        <f>IF(A130="","",COUNTIF($A$5:A130,A130))</f>
        <v/>
      </c>
      <c r="C130" s="3"/>
      <c r="D130" s="4" t="str">
        <f t="shared" si="4"/>
        <v/>
      </c>
      <c r="E130" s="5"/>
      <c r="F130" s="2"/>
      <c r="G130" s="4" t="str">
        <f>IFERROR(INDEX('Trade Log'!$F$5:$F$204,MATCH(A130,'Trade Log'!$A$5:$A$204,0)),"")</f>
        <v/>
      </c>
      <c r="H130" s="4" t="str">
        <f>IFERROR(INDEX('Trade Log'!$I$5:$I$204,MATCH(A130,'Trade Log'!$A$5:$A$204,0)),"")</f>
        <v/>
      </c>
      <c r="I130" s="7"/>
      <c r="J130" s="8"/>
      <c r="K130" s="8"/>
      <c r="L130" s="8"/>
      <c r="M130" s="2"/>
      <c r="N130" s="9" t="str">
        <f t="shared" si="5"/>
        <v/>
      </c>
      <c r="O130" s="9" t="str">
        <f t="shared" si="6"/>
        <v/>
      </c>
      <c r="P130" s="9" t="str">
        <f>IF(A130="","",O130-(I130*INDEX('Trade Log'!$P$5:$P$204,MATCH(A130,'Trade Log'!$A$5:$A$204,0))*100)-IFERROR(INDEX('Trade Log'!$Q$5:$Q$204,MATCH(A130,'Trade Log'!$A$5:$A$204,0))*I130/INDEX('Trade Log'!$O$5:$O$204,MATCH(A130,'Trade Log'!$A$5:$A$204,0)),0))</f>
        <v/>
      </c>
      <c r="Q130" s="12" t="str">
        <f>IFERROR(P130/(I130*INDEX('Trade Log'!$P$5:$P$204,MATCH(A130,'Trade Log'!$A$5:$A$204,0))*100+IFERROR(INDEX('Trade Log'!$Q$5:$Q$204,MATCH(A130,'Trade Log'!$A$5:$A$204,0))*I130/INDEX('Trade Log'!$O$5:$O$204,MATCH(A130,'Trade Log'!$A$5:$A$204,0)),0)),"")</f>
        <v/>
      </c>
      <c r="R130" s="10"/>
    </row>
    <row r="131" spans="1:18">
      <c r="A131" s="2"/>
      <c r="B131" s="4" t="str">
        <f>IF(A131="","",COUNTIF($A$5:A131,A131))</f>
        <v/>
      </c>
      <c r="C131" s="3"/>
      <c r="D131" s="4" t="str">
        <f t="shared" si="4"/>
        <v/>
      </c>
      <c r="E131" s="5"/>
      <c r="F131" s="2"/>
      <c r="G131" s="4" t="str">
        <f>IFERROR(INDEX('Trade Log'!$F$5:$F$204,MATCH(A131,'Trade Log'!$A$5:$A$204,0)),"")</f>
        <v/>
      </c>
      <c r="H131" s="4" t="str">
        <f>IFERROR(INDEX('Trade Log'!$I$5:$I$204,MATCH(A131,'Trade Log'!$A$5:$A$204,0)),"")</f>
        <v/>
      </c>
      <c r="I131" s="7"/>
      <c r="J131" s="8"/>
      <c r="K131" s="8"/>
      <c r="L131" s="8"/>
      <c r="M131" s="2"/>
      <c r="N131" s="9" t="str">
        <f t="shared" si="5"/>
        <v/>
      </c>
      <c r="O131" s="9" t="str">
        <f t="shared" si="6"/>
        <v/>
      </c>
      <c r="P131" s="9" t="str">
        <f>IF(A131="","",O131-(I131*INDEX('Trade Log'!$P$5:$P$204,MATCH(A131,'Trade Log'!$A$5:$A$204,0))*100)-IFERROR(INDEX('Trade Log'!$Q$5:$Q$204,MATCH(A131,'Trade Log'!$A$5:$A$204,0))*I131/INDEX('Trade Log'!$O$5:$O$204,MATCH(A131,'Trade Log'!$A$5:$A$204,0)),0))</f>
        <v/>
      </c>
      <c r="Q131" s="12" t="str">
        <f>IFERROR(P131/(I131*INDEX('Trade Log'!$P$5:$P$204,MATCH(A131,'Trade Log'!$A$5:$A$204,0))*100+IFERROR(INDEX('Trade Log'!$Q$5:$Q$204,MATCH(A131,'Trade Log'!$A$5:$A$204,0))*I131/INDEX('Trade Log'!$O$5:$O$204,MATCH(A131,'Trade Log'!$A$5:$A$204,0)),0)),"")</f>
        <v/>
      </c>
      <c r="R131" s="10"/>
    </row>
    <row r="132" spans="1:18">
      <c r="A132" s="2"/>
      <c r="B132" s="4" t="str">
        <f>IF(A132="","",COUNTIF($A$5:A132,A132))</f>
        <v/>
      </c>
      <c r="C132" s="3"/>
      <c r="D132" s="4" t="str">
        <f t="shared" si="4"/>
        <v/>
      </c>
      <c r="E132" s="5"/>
      <c r="F132" s="2"/>
      <c r="G132" s="4" t="str">
        <f>IFERROR(INDEX('Trade Log'!$F$5:$F$204,MATCH(A132,'Trade Log'!$A$5:$A$204,0)),"")</f>
        <v/>
      </c>
      <c r="H132" s="4" t="str">
        <f>IFERROR(INDEX('Trade Log'!$I$5:$I$204,MATCH(A132,'Trade Log'!$A$5:$A$204,0)),"")</f>
        <v/>
      </c>
      <c r="I132" s="7"/>
      <c r="J132" s="8"/>
      <c r="K132" s="8"/>
      <c r="L132" s="8"/>
      <c r="M132" s="2"/>
      <c r="N132" s="9" t="str">
        <f t="shared" si="5"/>
        <v/>
      </c>
      <c r="O132" s="9" t="str">
        <f t="shared" si="6"/>
        <v/>
      </c>
      <c r="P132" s="9" t="str">
        <f>IF(A132="","",O132-(I132*INDEX('Trade Log'!$P$5:$P$204,MATCH(A132,'Trade Log'!$A$5:$A$204,0))*100)-IFERROR(INDEX('Trade Log'!$Q$5:$Q$204,MATCH(A132,'Trade Log'!$A$5:$A$204,0))*I132/INDEX('Trade Log'!$O$5:$O$204,MATCH(A132,'Trade Log'!$A$5:$A$204,0)),0))</f>
        <v/>
      </c>
      <c r="Q132" s="12" t="str">
        <f>IFERROR(P132/(I132*INDEX('Trade Log'!$P$5:$P$204,MATCH(A132,'Trade Log'!$A$5:$A$204,0))*100+IFERROR(INDEX('Trade Log'!$Q$5:$Q$204,MATCH(A132,'Trade Log'!$A$5:$A$204,0))*I132/INDEX('Trade Log'!$O$5:$O$204,MATCH(A132,'Trade Log'!$A$5:$A$204,0)),0)),"")</f>
        <v/>
      </c>
      <c r="R132" s="10"/>
    </row>
    <row r="133" spans="1:18">
      <c r="A133" s="2"/>
      <c r="B133" s="4" t="str">
        <f>IF(A133="","",COUNTIF($A$5:A133,A133))</f>
        <v/>
      </c>
      <c r="C133" s="3"/>
      <c r="D133" s="4" t="str">
        <f t="shared" ref="D133:D196" si="7">IF(C133="","",TEXT(C133,"dddd"))</f>
        <v/>
      </c>
      <c r="E133" s="5"/>
      <c r="F133" s="2"/>
      <c r="G133" s="4" t="str">
        <f>IFERROR(INDEX('Trade Log'!$F$5:$F$204,MATCH(A133,'Trade Log'!$A$5:$A$204,0)),"")</f>
        <v/>
      </c>
      <c r="H133" s="4" t="str">
        <f>IFERROR(INDEX('Trade Log'!$I$5:$I$204,MATCH(A133,'Trade Log'!$A$5:$A$204,0)),"")</f>
        <v/>
      </c>
      <c r="I133" s="7"/>
      <c r="J133" s="8"/>
      <c r="K133" s="8"/>
      <c r="L133" s="8"/>
      <c r="M133" s="2"/>
      <c r="N133" s="9" t="str">
        <f t="shared" ref="N133:N196" si="8">IF(OR(I133="",J133=""),"",I133*J133*100)</f>
        <v/>
      </c>
      <c r="O133" s="9" t="str">
        <f t="shared" ref="O133:O196" si="9">IF(N133="","",N133-IF(K133="",0,K133))</f>
        <v/>
      </c>
      <c r="P133" s="9" t="str">
        <f>IF(A133="","",O133-(I133*INDEX('Trade Log'!$P$5:$P$204,MATCH(A133,'Trade Log'!$A$5:$A$204,0))*100)-IFERROR(INDEX('Trade Log'!$Q$5:$Q$204,MATCH(A133,'Trade Log'!$A$5:$A$204,0))*I133/INDEX('Trade Log'!$O$5:$O$204,MATCH(A133,'Trade Log'!$A$5:$A$204,0)),0))</f>
        <v/>
      </c>
      <c r="Q133" s="12" t="str">
        <f>IFERROR(P133/(I133*INDEX('Trade Log'!$P$5:$P$204,MATCH(A133,'Trade Log'!$A$5:$A$204,0))*100+IFERROR(INDEX('Trade Log'!$Q$5:$Q$204,MATCH(A133,'Trade Log'!$A$5:$A$204,0))*I133/INDEX('Trade Log'!$O$5:$O$204,MATCH(A133,'Trade Log'!$A$5:$A$204,0)),0)),"")</f>
        <v/>
      </c>
      <c r="R133" s="10"/>
    </row>
    <row r="134" spans="1:18">
      <c r="A134" s="2"/>
      <c r="B134" s="4" t="str">
        <f>IF(A134="","",COUNTIF($A$5:A134,A134))</f>
        <v/>
      </c>
      <c r="C134" s="3"/>
      <c r="D134" s="4" t="str">
        <f t="shared" si="7"/>
        <v/>
      </c>
      <c r="E134" s="5"/>
      <c r="F134" s="2"/>
      <c r="G134" s="4" t="str">
        <f>IFERROR(INDEX('Trade Log'!$F$5:$F$204,MATCH(A134,'Trade Log'!$A$5:$A$204,0)),"")</f>
        <v/>
      </c>
      <c r="H134" s="4" t="str">
        <f>IFERROR(INDEX('Trade Log'!$I$5:$I$204,MATCH(A134,'Trade Log'!$A$5:$A$204,0)),"")</f>
        <v/>
      </c>
      <c r="I134" s="7"/>
      <c r="J134" s="8"/>
      <c r="K134" s="8"/>
      <c r="L134" s="8"/>
      <c r="M134" s="2"/>
      <c r="N134" s="9" t="str">
        <f t="shared" si="8"/>
        <v/>
      </c>
      <c r="O134" s="9" t="str">
        <f t="shared" si="9"/>
        <v/>
      </c>
      <c r="P134" s="9" t="str">
        <f>IF(A134="","",O134-(I134*INDEX('Trade Log'!$P$5:$P$204,MATCH(A134,'Trade Log'!$A$5:$A$204,0))*100)-IFERROR(INDEX('Trade Log'!$Q$5:$Q$204,MATCH(A134,'Trade Log'!$A$5:$A$204,0))*I134/INDEX('Trade Log'!$O$5:$O$204,MATCH(A134,'Trade Log'!$A$5:$A$204,0)),0))</f>
        <v/>
      </c>
      <c r="Q134" s="12" t="str">
        <f>IFERROR(P134/(I134*INDEX('Trade Log'!$P$5:$P$204,MATCH(A134,'Trade Log'!$A$5:$A$204,0))*100+IFERROR(INDEX('Trade Log'!$Q$5:$Q$204,MATCH(A134,'Trade Log'!$A$5:$A$204,0))*I134/INDEX('Trade Log'!$O$5:$O$204,MATCH(A134,'Trade Log'!$A$5:$A$204,0)),0)),"")</f>
        <v/>
      </c>
      <c r="R134" s="10"/>
    </row>
    <row r="135" spans="1:18">
      <c r="A135" s="2"/>
      <c r="B135" s="4" t="str">
        <f>IF(A135="","",COUNTIF($A$5:A135,A135))</f>
        <v/>
      </c>
      <c r="C135" s="3"/>
      <c r="D135" s="4" t="str">
        <f t="shared" si="7"/>
        <v/>
      </c>
      <c r="E135" s="5"/>
      <c r="F135" s="2"/>
      <c r="G135" s="4" t="str">
        <f>IFERROR(INDEX('Trade Log'!$F$5:$F$204,MATCH(A135,'Trade Log'!$A$5:$A$204,0)),"")</f>
        <v/>
      </c>
      <c r="H135" s="4" t="str">
        <f>IFERROR(INDEX('Trade Log'!$I$5:$I$204,MATCH(A135,'Trade Log'!$A$5:$A$204,0)),"")</f>
        <v/>
      </c>
      <c r="I135" s="7"/>
      <c r="J135" s="8"/>
      <c r="K135" s="8"/>
      <c r="L135" s="8"/>
      <c r="M135" s="2"/>
      <c r="N135" s="9" t="str">
        <f t="shared" si="8"/>
        <v/>
      </c>
      <c r="O135" s="9" t="str">
        <f t="shared" si="9"/>
        <v/>
      </c>
      <c r="P135" s="9" t="str">
        <f>IF(A135="","",O135-(I135*INDEX('Trade Log'!$P$5:$P$204,MATCH(A135,'Trade Log'!$A$5:$A$204,0))*100)-IFERROR(INDEX('Trade Log'!$Q$5:$Q$204,MATCH(A135,'Trade Log'!$A$5:$A$204,0))*I135/INDEX('Trade Log'!$O$5:$O$204,MATCH(A135,'Trade Log'!$A$5:$A$204,0)),0))</f>
        <v/>
      </c>
      <c r="Q135" s="12" t="str">
        <f>IFERROR(P135/(I135*INDEX('Trade Log'!$P$5:$P$204,MATCH(A135,'Trade Log'!$A$5:$A$204,0))*100+IFERROR(INDEX('Trade Log'!$Q$5:$Q$204,MATCH(A135,'Trade Log'!$A$5:$A$204,0))*I135/INDEX('Trade Log'!$O$5:$O$204,MATCH(A135,'Trade Log'!$A$5:$A$204,0)),0)),"")</f>
        <v/>
      </c>
      <c r="R135" s="10"/>
    </row>
    <row r="136" spans="1:18">
      <c r="A136" s="2"/>
      <c r="B136" s="4" t="str">
        <f>IF(A136="","",COUNTIF($A$5:A136,A136))</f>
        <v/>
      </c>
      <c r="C136" s="3"/>
      <c r="D136" s="4" t="str">
        <f t="shared" si="7"/>
        <v/>
      </c>
      <c r="E136" s="5"/>
      <c r="F136" s="2"/>
      <c r="G136" s="4" t="str">
        <f>IFERROR(INDEX('Trade Log'!$F$5:$F$204,MATCH(A136,'Trade Log'!$A$5:$A$204,0)),"")</f>
        <v/>
      </c>
      <c r="H136" s="4" t="str">
        <f>IFERROR(INDEX('Trade Log'!$I$5:$I$204,MATCH(A136,'Trade Log'!$A$5:$A$204,0)),"")</f>
        <v/>
      </c>
      <c r="I136" s="7"/>
      <c r="J136" s="8"/>
      <c r="K136" s="8"/>
      <c r="L136" s="8"/>
      <c r="M136" s="2"/>
      <c r="N136" s="9" t="str">
        <f t="shared" si="8"/>
        <v/>
      </c>
      <c r="O136" s="9" t="str">
        <f t="shared" si="9"/>
        <v/>
      </c>
      <c r="P136" s="9" t="str">
        <f>IF(A136="","",O136-(I136*INDEX('Trade Log'!$P$5:$P$204,MATCH(A136,'Trade Log'!$A$5:$A$204,0))*100)-IFERROR(INDEX('Trade Log'!$Q$5:$Q$204,MATCH(A136,'Trade Log'!$A$5:$A$204,0))*I136/INDEX('Trade Log'!$O$5:$O$204,MATCH(A136,'Trade Log'!$A$5:$A$204,0)),0))</f>
        <v/>
      </c>
      <c r="Q136" s="12" t="str">
        <f>IFERROR(P136/(I136*INDEX('Trade Log'!$P$5:$P$204,MATCH(A136,'Trade Log'!$A$5:$A$204,0))*100+IFERROR(INDEX('Trade Log'!$Q$5:$Q$204,MATCH(A136,'Trade Log'!$A$5:$A$204,0))*I136/INDEX('Trade Log'!$O$5:$O$204,MATCH(A136,'Trade Log'!$A$5:$A$204,0)),0)),"")</f>
        <v/>
      </c>
      <c r="R136" s="10"/>
    </row>
    <row r="137" spans="1:18">
      <c r="A137" s="2"/>
      <c r="B137" s="4" t="str">
        <f>IF(A137="","",COUNTIF($A$5:A137,A137))</f>
        <v/>
      </c>
      <c r="C137" s="3"/>
      <c r="D137" s="4" t="str">
        <f t="shared" si="7"/>
        <v/>
      </c>
      <c r="E137" s="5"/>
      <c r="F137" s="2"/>
      <c r="G137" s="4" t="str">
        <f>IFERROR(INDEX('Trade Log'!$F$5:$F$204,MATCH(A137,'Trade Log'!$A$5:$A$204,0)),"")</f>
        <v/>
      </c>
      <c r="H137" s="4" t="str">
        <f>IFERROR(INDEX('Trade Log'!$I$5:$I$204,MATCH(A137,'Trade Log'!$A$5:$A$204,0)),"")</f>
        <v/>
      </c>
      <c r="I137" s="7"/>
      <c r="J137" s="8"/>
      <c r="K137" s="8"/>
      <c r="L137" s="8"/>
      <c r="M137" s="2"/>
      <c r="N137" s="9" t="str">
        <f t="shared" si="8"/>
        <v/>
      </c>
      <c r="O137" s="9" t="str">
        <f t="shared" si="9"/>
        <v/>
      </c>
      <c r="P137" s="9" t="str">
        <f>IF(A137="","",O137-(I137*INDEX('Trade Log'!$P$5:$P$204,MATCH(A137,'Trade Log'!$A$5:$A$204,0))*100)-IFERROR(INDEX('Trade Log'!$Q$5:$Q$204,MATCH(A137,'Trade Log'!$A$5:$A$204,0))*I137/INDEX('Trade Log'!$O$5:$O$204,MATCH(A137,'Trade Log'!$A$5:$A$204,0)),0))</f>
        <v/>
      </c>
      <c r="Q137" s="12" t="str">
        <f>IFERROR(P137/(I137*INDEX('Trade Log'!$P$5:$P$204,MATCH(A137,'Trade Log'!$A$5:$A$204,0))*100+IFERROR(INDEX('Trade Log'!$Q$5:$Q$204,MATCH(A137,'Trade Log'!$A$5:$A$204,0))*I137/INDEX('Trade Log'!$O$5:$O$204,MATCH(A137,'Trade Log'!$A$5:$A$204,0)),0)),"")</f>
        <v/>
      </c>
      <c r="R137" s="10"/>
    </row>
    <row r="138" spans="1:18">
      <c r="A138" s="2"/>
      <c r="B138" s="4" t="str">
        <f>IF(A138="","",COUNTIF($A$5:A138,A138))</f>
        <v/>
      </c>
      <c r="C138" s="3"/>
      <c r="D138" s="4" t="str">
        <f t="shared" si="7"/>
        <v/>
      </c>
      <c r="E138" s="5"/>
      <c r="F138" s="2"/>
      <c r="G138" s="4" t="str">
        <f>IFERROR(INDEX('Trade Log'!$F$5:$F$204,MATCH(A138,'Trade Log'!$A$5:$A$204,0)),"")</f>
        <v/>
      </c>
      <c r="H138" s="4" t="str">
        <f>IFERROR(INDEX('Trade Log'!$I$5:$I$204,MATCH(A138,'Trade Log'!$A$5:$A$204,0)),"")</f>
        <v/>
      </c>
      <c r="I138" s="7"/>
      <c r="J138" s="8"/>
      <c r="K138" s="8"/>
      <c r="L138" s="8"/>
      <c r="M138" s="2"/>
      <c r="N138" s="9" t="str">
        <f t="shared" si="8"/>
        <v/>
      </c>
      <c r="O138" s="9" t="str">
        <f t="shared" si="9"/>
        <v/>
      </c>
      <c r="P138" s="9" t="str">
        <f>IF(A138="","",O138-(I138*INDEX('Trade Log'!$P$5:$P$204,MATCH(A138,'Trade Log'!$A$5:$A$204,0))*100)-IFERROR(INDEX('Trade Log'!$Q$5:$Q$204,MATCH(A138,'Trade Log'!$A$5:$A$204,0))*I138/INDEX('Trade Log'!$O$5:$O$204,MATCH(A138,'Trade Log'!$A$5:$A$204,0)),0))</f>
        <v/>
      </c>
      <c r="Q138" s="12" t="str">
        <f>IFERROR(P138/(I138*INDEX('Trade Log'!$P$5:$P$204,MATCH(A138,'Trade Log'!$A$5:$A$204,0))*100+IFERROR(INDEX('Trade Log'!$Q$5:$Q$204,MATCH(A138,'Trade Log'!$A$5:$A$204,0))*I138/INDEX('Trade Log'!$O$5:$O$204,MATCH(A138,'Trade Log'!$A$5:$A$204,0)),0)),"")</f>
        <v/>
      </c>
      <c r="R138" s="10"/>
    </row>
    <row r="139" spans="1:18">
      <c r="A139" s="2"/>
      <c r="B139" s="4" t="str">
        <f>IF(A139="","",COUNTIF($A$5:A139,A139))</f>
        <v/>
      </c>
      <c r="C139" s="3"/>
      <c r="D139" s="4" t="str">
        <f t="shared" si="7"/>
        <v/>
      </c>
      <c r="E139" s="5"/>
      <c r="F139" s="2"/>
      <c r="G139" s="4" t="str">
        <f>IFERROR(INDEX('Trade Log'!$F$5:$F$204,MATCH(A139,'Trade Log'!$A$5:$A$204,0)),"")</f>
        <v/>
      </c>
      <c r="H139" s="4" t="str">
        <f>IFERROR(INDEX('Trade Log'!$I$5:$I$204,MATCH(A139,'Trade Log'!$A$5:$A$204,0)),"")</f>
        <v/>
      </c>
      <c r="I139" s="7"/>
      <c r="J139" s="8"/>
      <c r="K139" s="8"/>
      <c r="L139" s="8"/>
      <c r="M139" s="2"/>
      <c r="N139" s="9" t="str">
        <f t="shared" si="8"/>
        <v/>
      </c>
      <c r="O139" s="9" t="str">
        <f t="shared" si="9"/>
        <v/>
      </c>
      <c r="P139" s="9" t="str">
        <f>IF(A139="","",O139-(I139*INDEX('Trade Log'!$P$5:$P$204,MATCH(A139,'Trade Log'!$A$5:$A$204,0))*100)-IFERROR(INDEX('Trade Log'!$Q$5:$Q$204,MATCH(A139,'Trade Log'!$A$5:$A$204,0))*I139/INDEX('Trade Log'!$O$5:$O$204,MATCH(A139,'Trade Log'!$A$5:$A$204,0)),0))</f>
        <v/>
      </c>
      <c r="Q139" s="12" t="str">
        <f>IFERROR(P139/(I139*INDEX('Trade Log'!$P$5:$P$204,MATCH(A139,'Trade Log'!$A$5:$A$204,0))*100+IFERROR(INDEX('Trade Log'!$Q$5:$Q$204,MATCH(A139,'Trade Log'!$A$5:$A$204,0))*I139/INDEX('Trade Log'!$O$5:$O$204,MATCH(A139,'Trade Log'!$A$5:$A$204,0)),0)),"")</f>
        <v/>
      </c>
      <c r="R139" s="10"/>
    </row>
    <row r="140" spans="1:18">
      <c r="A140" s="2"/>
      <c r="B140" s="4" t="str">
        <f>IF(A140="","",COUNTIF($A$5:A140,A140))</f>
        <v/>
      </c>
      <c r="C140" s="3"/>
      <c r="D140" s="4" t="str">
        <f t="shared" si="7"/>
        <v/>
      </c>
      <c r="E140" s="5"/>
      <c r="F140" s="2"/>
      <c r="G140" s="4" t="str">
        <f>IFERROR(INDEX('Trade Log'!$F$5:$F$204,MATCH(A140,'Trade Log'!$A$5:$A$204,0)),"")</f>
        <v/>
      </c>
      <c r="H140" s="4" t="str">
        <f>IFERROR(INDEX('Trade Log'!$I$5:$I$204,MATCH(A140,'Trade Log'!$A$5:$A$204,0)),"")</f>
        <v/>
      </c>
      <c r="I140" s="7"/>
      <c r="J140" s="8"/>
      <c r="K140" s="8"/>
      <c r="L140" s="8"/>
      <c r="M140" s="2"/>
      <c r="N140" s="9" t="str">
        <f t="shared" si="8"/>
        <v/>
      </c>
      <c r="O140" s="9" t="str">
        <f t="shared" si="9"/>
        <v/>
      </c>
      <c r="P140" s="9" t="str">
        <f>IF(A140="","",O140-(I140*INDEX('Trade Log'!$P$5:$P$204,MATCH(A140,'Trade Log'!$A$5:$A$204,0))*100)-IFERROR(INDEX('Trade Log'!$Q$5:$Q$204,MATCH(A140,'Trade Log'!$A$5:$A$204,0))*I140/INDEX('Trade Log'!$O$5:$O$204,MATCH(A140,'Trade Log'!$A$5:$A$204,0)),0))</f>
        <v/>
      </c>
      <c r="Q140" s="12" t="str">
        <f>IFERROR(P140/(I140*INDEX('Trade Log'!$P$5:$P$204,MATCH(A140,'Trade Log'!$A$5:$A$204,0))*100+IFERROR(INDEX('Trade Log'!$Q$5:$Q$204,MATCH(A140,'Trade Log'!$A$5:$A$204,0))*I140/INDEX('Trade Log'!$O$5:$O$204,MATCH(A140,'Trade Log'!$A$5:$A$204,0)),0)),"")</f>
        <v/>
      </c>
      <c r="R140" s="10"/>
    </row>
    <row r="141" spans="1:18">
      <c r="A141" s="2"/>
      <c r="B141" s="4" t="str">
        <f>IF(A141="","",COUNTIF($A$5:A141,A141))</f>
        <v/>
      </c>
      <c r="C141" s="3"/>
      <c r="D141" s="4" t="str">
        <f t="shared" si="7"/>
        <v/>
      </c>
      <c r="E141" s="5"/>
      <c r="F141" s="2"/>
      <c r="G141" s="4" t="str">
        <f>IFERROR(INDEX('Trade Log'!$F$5:$F$204,MATCH(A141,'Trade Log'!$A$5:$A$204,0)),"")</f>
        <v/>
      </c>
      <c r="H141" s="4" t="str">
        <f>IFERROR(INDEX('Trade Log'!$I$5:$I$204,MATCH(A141,'Trade Log'!$A$5:$A$204,0)),"")</f>
        <v/>
      </c>
      <c r="I141" s="7"/>
      <c r="J141" s="8"/>
      <c r="K141" s="8"/>
      <c r="L141" s="8"/>
      <c r="M141" s="2"/>
      <c r="N141" s="9" t="str">
        <f t="shared" si="8"/>
        <v/>
      </c>
      <c r="O141" s="9" t="str">
        <f t="shared" si="9"/>
        <v/>
      </c>
      <c r="P141" s="9" t="str">
        <f>IF(A141="","",O141-(I141*INDEX('Trade Log'!$P$5:$P$204,MATCH(A141,'Trade Log'!$A$5:$A$204,0))*100)-IFERROR(INDEX('Trade Log'!$Q$5:$Q$204,MATCH(A141,'Trade Log'!$A$5:$A$204,0))*I141/INDEX('Trade Log'!$O$5:$O$204,MATCH(A141,'Trade Log'!$A$5:$A$204,0)),0))</f>
        <v/>
      </c>
      <c r="Q141" s="12" t="str">
        <f>IFERROR(P141/(I141*INDEX('Trade Log'!$P$5:$P$204,MATCH(A141,'Trade Log'!$A$5:$A$204,0))*100+IFERROR(INDEX('Trade Log'!$Q$5:$Q$204,MATCH(A141,'Trade Log'!$A$5:$A$204,0))*I141/INDEX('Trade Log'!$O$5:$O$204,MATCH(A141,'Trade Log'!$A$5:$A$204,0)),0)),"")</f>
        <v/>
      </c>
      <c r="R141" s="10"/>
    </row>
    <row r="142" spans="1:18">
      <c r="A142" s="2"/>
      <c r="B142" s="4" t="str">
        <f>IF(A142="","",COUNTIF($A$5:A142,A142))</f>
        <v/>
      </c>
      <c r="C142" s="3"/>
      <c r="D142" s="4" t="str">
        <f t="shared" si="7"/>
        <v/>
      </c>
      <c r="E142" s="5"/>
      <c r="F142" s="2"/>
      <c r="G142" s="4" t="str">
        <f>IFERROR(INDEX('Trade Log'!$F$5:$F$204,MATCH(A142,'Trade Log'!$A$5:$A$204,0)),"")</f>
        <v/>
      </c>
      <c r="H142" s="4" t="str">
        <f>IFERROR(INDEX('Trade Log'!$I$5:$I$204,MATCH(A142,'Trade Log'!$A$5:$A$204,0)),"")</f>
        <v/>
      </c>
      <c r="I142" s="7"/>
      <c r="J142" s="8"/>
      <c r="K142" s="8"/>
      <c r="L142" s="8"/>
      <c r="M142" s="2"/>
      <c r="N142" s="9" t="str">
        <f t="shared" si="8"/>
        <v/>
      </c>
      <c r="O142" s="9" t="str">
        <f t="shared" si="9"/>
        <v/>
      </c>
      <c r="P142" s="9" t="str">
        <f>IF(A142="","",O142-(I142*INDEX('Trade Log'!$P$5:$P$204,MATCH(A142,'Trade Log'!$A$5:$A$204,0))*100)-IFERROR(INDEX('Trade Log'!$Q$5:$Q$204,MATCH(A142,'Trade Log'!$A$5:$A$204,0))*I142/INDEX('Trade Log'!$O$5:$O$204,MATCH(A142,'Trade Log'!$A$5:$A$204,0)),0))</f>
        <v/>
      </c>
      <c r="Q142" s="12" t="str">
        <f>IFERROR(P142/(I142*INDEX('Trade Log'!$P$5:$P$204,MATCH(A142,'Trade Log'!$A$5:$A$204,0))*100+IFERROR(INDEX('Trade Log'!$Q$5:$Q$204,MATCH(A142,'Trade Log'!$A$5:$A$204,0))*I142/INDEX('Trade Log'!$O$5:$O$204,MATCH(A142,'Trade Log'!$A$5:$A$204,0)),0)),"")</f>
        <v/>
      </c>
      <c r="R142" s="10"/>
    </row>
    <row r="143" spans="1:18">
      <c r="A143" s="2"/>
      <c r="B143" s="4" t="str">
        <f>IF(A143="","",COUNTIF($A$5:A143,A143))</f>
        <v/>
      </c>
      <c r="C143" s="3"/>
      <c r="D143" s="4" t="str">
        <f t="shared" si="7"/>
        <v/>
      </c>
      <c r="E143" s="5"/>
      <c r="F143" s="2"/>
      <c r="G143" s="4" t="str">
        <f>IFERROR(INDEX('Trade Log'!$F$5:$F$204,MATCH(A143,'Trade Log'!$A$5:$A$204,0)),"")</f>
        <v/>
      </c>
      <c r="H143" s="4" t="str">
        <f>IFERROR(INDEX('Trade Log'!$I$5:$I$204,MATCH(A143,'Trade Log'!$A$5:$A$204,0)),"")</f>
        <v/>
      </c>
      <c r="I143" s="7"/>
      <c r="J143" s="8"/>
      <c r="K143" s="8"/>
      <c r="L143" s="8"/>
      <c r="M143" s="2"/>
      <c r="N143" s="9" t="str">
        <f t="shared" si="8"/>
        <v/>
      </c>
      <c r="O143" s="9" t="str">
        <f t="shared" si="9"/>
        <v/>
      </c>
      <c r="P143" s="9" t="str">
        <f>IF(A143="","",O143-(I143*INDEX('Trade Log'!$P$5:$P$204,MATCH(A143,'Trade Log'!$A$5:$A$204,0))*100)-IFERROR(INDEX('Trade Log'!$Q$5:$Q$204,MATCH(A143,'Trade Log'!$A$5:$A$204,0))*I143/INDEX('Trade Log'!$O$5:$O$204,MATCH(A143,'Trade Log'!$A$5:$A$204,0)),0))</f>
        <v/>
      </c>
      <c r="Q143" s="12" t="str">
        <f>IFERROR(P143/(I143*INDEX('Trade Log'!$P$5:$P$204,MATCH(A143,'Trade Log'!$A$5:$A$204,0))*100+IFERROR(INDEX('Trade Log'!$Q$5:$Q$204,MATCH(A143,'Trade Log'!$A$5:$A$204,0))*I143/INDEX('Trade Log'!$O$5:$O$204,MATCH(A143,'Trade Log'!$A$5:$A$204,0)),0)),"")</f>
        <v/>
      </c>
      <c r="R143" s="10"/>
    </row>
    <row r="144" spans="1:18">
      <c r="A144" s="2"/>
      <c r="B144" s="4" t="str">
        <f>IF(A144="","",COUNTIF($A$5:A144,A144))</f>
        <v/>
      </c>
      <c r="C144" s="3"/>
      <c r="D144" s="4" t="str">
        <f t="shared" si="7"/>
        <v/>
      </c>
      <c r="E144" s="5"/>
      <c r="F144" s="2"/>
      <c r="G144" s="4" t="str">
        <f>IFERROR(INDEX('Trade Log'!$F$5:$F$204,MATCH(A144,'Trade Log'!$A$5:$A$204,0)),"")</f>
        <v/>
      </c>
      <c r="H144" s="4" t="str">
        <f>IFERROR(INDEX('Trade Log'!$I$5:$I$204,MATCH(A144,'Trade Log'!$A$5:$A$204,0)),"")</f>
        <v/>
      </c>
      <c r="I144" s="7"/>
      <c r="J144" s="8"/>
      <c r="K144" s="8"/>
      <c r="L144" s="8"/>
      <c r="M144" s="2"/>
      <c r="N144" s="9" t="str">
        <f t="shared" si="8"/>
        <v/>
      </c>
      <c r="O144" s="9" t="str">
        <f t="shared" si="9"/>
        <v/>
      </c>
      <c r="P144" s="9" t="str">
        <f>IF(A144="","",O144-(I144*INDEX('Trade Log'!$P$5:$P$204,MATCH(A144,'Trade Log'!$A$5:$A$204,0))*100)-IFERROR(INDEX('Trade Log'!$Q$5:$Q$204,MATCH(A144,'Trade Log'!$A$5:$A$204,0))*I144/INDEX('Trade Log'!$O$5:$O$204,MATCH(A144,'Trade Log'!$A$5:$A$204,0)),0))</f>
        <v/>
      </c>
      <c r="Q144" s="12" t="str">
        <f>IFERROR(P144/(I144*INDEX('Trade Log'!$P$5:$P$204,MATCH(A144,'Trade Log'!$A$5:$A$204,0))*100+IFERROR(INDEX('Trade Log'!$Q$5:$Q$204,MATCH(A144,'Trade Log'!$A$5:$A$204,0))*I144/INDEX('Trade Log'!$O$5:$O$204,MATCH(A144,'Trade Log'!$A$5:$A$204,0)),0)),"")</f>
        <v/>
      </c>
      <c r="R144" s="10"/>
    </row>
    <row r="145" spans="1:18">
      <c r="A145" s="2"/>
      <c r="B145" s="4" t="str">
        <f>IF(A145="","",COUNTIF($A$5:A145,A145))</f>
        <v/>
      </c>
      <c r="C145" s="3"/>
      <c r="D145" s="4" t="str">
        <f t="shared" si="7"/>
        <v/>
      </c>
      <c r="E145" s="5"/>
      <c r="F145" s="2"/>
      <c r="G145" s="4" t="str">
        <f>IFERROR(INDEX('Trade Log'!$F$5:$F$204,MATCH(A145,'Trade Log'!$A$5:$A$204,0)),"")</f>
        <v/>
      </c>
      <c r="H145" s="4" t="str">
        <f>IFERROR(INDEX('Trade Log'!$I$5:$I$204,MATCH(A145,'Trade Log'!$A$5:$A$204,0)),"")</f>
        <v/>
      </c>
      <c r="I145" s="7"/>
      <c r="J145" s="8"/>
      <c r="K145" s="8"/>
      <c r="L145" s="8"/>
      <c r="M145" s="2"/>
      <c r="N145" s="9" t="str">
        <f t="shared" si="8"/>
        <v/>
      </c>
      <c r="O145" s="9" t="str">
        <f t="shared" si="9"/>
        <v/>
      </c>
      <c r="P145" s="9" t="str">
        <f>IF(A145="","",O145-(I145*INDEX('Trade Log'!$P$5:$P$204,MATCH(A145,'Trade Log'!$A$5:$A$204,0))*100)-IFERROR(INDEX('Trade Log'!$Q$5:$Q$204,MATCH(A145,'Trade Log'!$A$5:$A$204,0))*I145/INDEX('Trade Log'!$O$5:$O$204,MATCH(A145,'Trade Log'!$A$5:$A$204,0)),0))</f>
        <v/>
      </c>
      <c r="Q145" s="12" t="str">
        <f>IFERROR(P145/(I145*INDEX('Trade Log'!$P$5:$P$204,MATCH(A145,'Trade Log'!$A$5:$A$204,0))*100+IFERROR(INDEX('Trade Log'!$Q$5:$Q$204,MATCH(A145,'Trade Log'!$A$5:$A$204,0))*I145/INDEX('Trade Log'!$O$5:$O$204,MATCH(A145,'Trade Log'!$A$5:$A$204,0)),0)),"")</f>
        <v/>
      </c>
      <c r="R145" s="10"/>
    </row>
    <row r="146" spans="1:18">
      <c r="A146" s="2"/>
      <c r="B146" s="4" t="str">
        <f>IF(A146="","",COUNTIF($A$5:A146,A146))</f>
        <v/>
      </c>
      <c r="C146" s="3"/>
      <c r="D146" s="4" t="str">
        <f t="shared" si="7"/>
        <v/>
      </c>
      <c r="E146" s="5"/>
      <c r="F146" s="2"/>
      <c r="G146" s="4" t="str">
        <f>IFERROR(INDEX('Trade Log'!$F$5:$F$204,MATCH(A146,'Trade Log'!$A$5:$A$204,0)),"")</f>
        <v/>
      </c>
      <c r="H146" s="4" t="str">
        <f>IFERROR(INDEX('Trade Log'!$I$5:$I$204,MATCH(A146,'Trade Log'!$A$5:$A$204,0)),"")</f>
        <v/>
      </c>
      <c r="I146" s="7"/>
      <c r="J146" s="8"/>
      <c r="K146" s="8"/>
      <c r="L146" s="8"/>
      <c r="M146" s="2"/>
      <c r="N146" s="9" t="str">
        <f t="shared" si="8"/>
        <v/>
      </c>
      <c r="O146" s="9" t="str">
        <f t="shared" si="9"/>
        <v/>
      </c>
      <c r="P146" s="9" t="str">
        <f>IF(A146="","",O146-(I146*INDEX('Trade Log'!$P$5:$P$204,MATCH(A146,'Trade Log'!$A$5:$A$204,0))*100)-IFERROR(INDEX('Trade Log'!$Q$5:$Q$204,MATCH(A146,'Trade Log'!$A$5:$A$204,0))*I146/INDEX('Trade Log'!$O$5:$O$204,MATCH(A146,'Trade Log'!$A$5:$A$204,0)),0))</f>
        <v/>
      </c>
      <c r="Q146" s="12" t="str">
        <f>IFERROR(P146/(I146*INDEX('Trade Log'!$P$5:$P$204,MATCH(A146,'Trade Log'!$A$5:$A$204,0))*100+IFERROR(INDEX('Trade Log'!$Q$5:$Q$204,MATCH(A146,'Trade Log'!$A$5:$A$204,0))*I146/INDEX('Trade Log'!$O$5:$O$204,MATCH(A146,'Trade Log'!$A$5:$A$204,0)),0)),"")</f>
        <v/>
      </c>
      <c r="R146" s="10"/>
    </row>
    <row r="147" spans="1:18">
      <c r="A147" s="2"/>
      <c r="B147" s="4" t="str">
        <f>IF(A147="","",COUNTIF($A$5:A147,A147))</f>
        <v/>
      </c>
      <c r="C147" s="3"/>
      <c r="D147" s="4" t="str">
        <f t="shared" si="7"/>
        <v/>
      </c>
      <c r="E147" s="5"/>
      <c r="F147" s="2"/>
      <c r="G147" s="4" t="str">
        <f>IFERROR(INDEX('Trade Log'!$F$5:$F$204,MATCH(A147,'Trade Log'!$A$5:$A$204,0)),"")</f>
        <v/>
      </c>
      <c r="H147" s="4" t="str">
        <f>IFERROR(INDEX('Trade Log'!$I$5:$I$204,MATCH(A147,'Trade Log'!$A$5:$A$204,0)),"")</f>
        <v/>
      </c>
      <c r="I147" s="7"/>
      <c r="J147" s="8"/>
      <c r="K147" s="8"/>
      <c r="L147" s="8"/>
      <c r="M147" s="2"/>
      <c r="N147" s="9" t="str">
        <f t="shared" si="8"/>
        <v/>
      </c>
      <c r="O147" s="9" t="str">
        <f t="shared" si="9"/>
        <v/>
      </c>
      <c r="P147" s="9" t="str">
        <f>IF(A147="","",O147-(I147*INDEX('Trade Log'!$P$5:$P$204,MATCH(A147,'Trade Log'!$A$5:$A$204,0))*100)-IFERROR(INDEX('Trade Log'!$Q$5:$Q$204,MATCH(A147,'Trade Log'!$A$5:$A$204,0))*I147/INDEX('Trade Log'!$O$5:$O$204,MATCH(A147,'Trade Log'!$A$5:$A$204,0)),0))</f>
        <v/>
      </c>
      <c r="Q147" s="12" t="str">
        <f>IFERROR(P147/(I147*INDEX('Trade Log'!$P$5:$P$204,MATCH(A147,'Trade Log'!$A$5:$A$204,0))*100+IFERROR(INDEX('Trade Log'!$Q$5:$Q$204,MATCH(A147,'Trade Log'!$A$5:$A$204,0))*I147/INDEX('Trade Log'!$O$5:$O$204,MATCH(A147,'Trade Log'!$A$5:$A$204,0)),0)),"")</f>
        <v/>
      </c>
      <c r="R147" s="10"/>
    </row>
    <row r="148" spans="1:18">
      <c r="A148" s="2"/>
      <c r="B148" s="4" t="str">
        <f>IF(A148="","",COUNTIF($A$5:A148,A148))</f>
        <v/>
      </c>
      <c r="C148" s="3"/>
      <c r="D148" s="4" t="str">
        <f t="shared" si="7"/>
        <v/>
      </c>
      <c r="E148" s="5"/>
      <c r="F148" s="2"/>
      <c r="G148" s="4" t="str">
        <f>IFERROR(INDEX('Trade Log'!$F$5:$F$204,MATCH(A148,'Trade Log'!$A$5:$A$204,0)),"")</f>
        <v/>
      </c>
      <c r="H148" s="4" t="str">
        <f>IFERROR(INDEX('Trade Log'!$I$5:$I$204,MATCH(A148,'Trade Log'!$A$5:$A$204,0)),"")</f>
        <v/>
      </c>
      <c r="I148" s="7"/>
      <c r="J148" s="8"/>
      <c r="K148" s="8"/>
      <c r="L148" s="8"/>
      <c r="M148" s="2"/>
      <c r="N148" s="9" t="str">
        <f t="shared" si="8"/>
        <v/>
      </c>
      <c r="O148" s="9" t="str">
        <f t="shared" si="9"/>
        <v/>
      </c>
      <c r="P148" s="9" t="str">
        <f>IF(A148="","",O148-(I148*INDEX('Trade Log'!$P$5:$P$204,MATCH(A148,'Trade Log'!$A$5:$A$204,0))*100)-IFERROR(INDEX('Trade Log'!$Q$5:$Q$204,MATCH(A148,'Trade Log'!$A$5:$A$204,0))*I148/INDEX('Trade Log'!$O$5:$O$204,MATCH(A148,'Trade Log'!$A$5:$A$204,0)),0))</f>
        <v/>
      </c>
      <c r="Q148" s="12" t="str">
        <f>IFERROR(P148/(I148*INDEX('Trade Log'!$P$5:$P$204,MATCH(A148,'Trade Log'!$A$5:$A$204,0))*100+IFERROR(INDEX('Trade Log'!$Q$5:$Q$204,MATCH(A148,'Trade Log'!$A$5:$A$204,0))*I148/INDEX('Trade Log'!$O$5:$O$204,MATCH(A148,'Trade Log'!$A$5:$A$204,0)),0)),"")</f>
        <v/>
      </c>
      <c r="R148" s="10"/>
    </row>
    <row r="149" spans="1:18">
      <c r="A149" s="2"/>
      <c r="B149" s="4" t="str">
        <f>IF(A149="","",COUNTIF($A$5:A149,A149))</f>
        <v/>
      </c>
      <c r="C149" s="3"/>
      <c r="D149" s="4" t="str">
        <f t="shared" si="7"/>
        <v/>
      </c>
      <c r="E149" s="5"/>
      <c r="F149" s="2"/>
      <c r="G149" s="4" t="str">
        <f>IFERROR(INDEX('Trade Log'!$F$5:$F$204,MATCH(A149,'Trade Log'!$A$5:$A$204,0)),"")</f>
        <v/>
      </c>
      <c r="H149" s="4" t="str">
        <f>IFERROR(INDEX('Trade Log'!$I$5:$I$204,MATCH(A149,'Trade Log'!$A$5:$A$204,0)),"")</f>
        <v/>
      </c>
      <c r="I149" s="7"/>
      <c r="J149" s="8"/>
      <c r="K149" s="8"/>
      <c r="L149" s="8"/>
      <c r="M149" s="2"/>
      <c r="N149" s="9" t="str">
        <f t="shared" si="8"/>
        <v/>
      </c>
      <c r="O149" s="9" t="str">
        <f t="shared" si="9"/>
        <v/>
      </c>
      <c r="P149" s="9" t="str">
        <f>IF(A149="","",O149-(I149*INDEX('Trade Log'!$P$5:$P$204,MATCH(A149,'Trade Log'!$A$5:$A$204,0))*100)-IFERROR(INDEX('Trade Log'!$Q$5:$Q$204,MATCH(A149,'Trade Log'!$A$5:$A$204,0))*I149/INDEX('Trade Log'!$O$5:$O$204,MATCH(A149,'Trade Log'!$A$5:$A$204,0)),0))</f>
        <v/>
      </c>
      <c r="Q149" s="12" t="str">
        <f>IFERROR(P149/(I149*INDEX('Trade Log'!$P$5:$P$204,MATCH(A149,'Trade Log'!$A$5:$A$204,0))*100+IFERROR(INDEX('Trade Log'!$Q$5:$Q$204,MATCH(A149,'Trade Log'!$A$5:$A$204,0))*I149/INDEX('Trade Log'!$O$5:$O$204,MATCH(A149,'Trade Log'!$A$5:$A$204,0)),0)),"")</f>
        <v/>
      </c>
      <c r="R149" s="10"/>
    </row>
    <row r="150" spans="1:18">
      <c r="A150" s="2"/>
      <c r="B150" s="4" t="str">
        <f>IF(A150="","",COUNTIF($A$5:A150,A150))</f>
        <v/>
      </c>
      <c r="C150" s="3"/>
      <c r="D150" s="4" t="str">
        <f t="shared" si="7"/>
        <v/>
      </c>
      <c r="E150" s="5"/>
      <c r="F150" s="2"/>
      <c r="G150" s="4" t="str">
        <f>IFERROR(INDEX('Trade Log'!$F$5:$F$204,MATCH(A150,'Trade Log'!$A$5:$A$204,0)),"")</f>
        <v/>
      </c>
      <c r="H150" s="4" t="str">
        <f>IFERROR(INDEX('Trade Log'!$I$5:$I$204,MATCH(A150,'Trade Log'!$A$5:$A$204,0)),"")</f>
        <v/>
      </c>
      <c r="I150" s="7"/>
      <c r="J150" s="8"/>
      <c r="K150" s="8"/>
      <c r="L150" s="8"/>
      <c r="M150" s="2"/>
      <c r="N150" s="9" t="str">
        <f t="shared" si="8"/>
        <v/>
      </c>
      <c r="O150" s="9" t="str">
        <f t="shared" si="9"/>
        <v/>
      </c>
      <c r="P150" s="9" t="str">
        <f>IF(A150="","",O150-(I150*INDEX('Trade Log'!$P$5:$P$204,MATCH(A150,'Trade Log'!$A$5:$A$204,0))*100)-IFERROR(INDEX('Trade Log'!$Q$5:$Q$204,MATCH(A150,'Trade Log'!$A$5:$A$204,0))*I150/INDEX('Trade Log'!$O$5:$O$204,MATCH(A150,'Trade Log'!$A$5:$A$204,0)),0))</f>
        <v/>
      </c>
      <c r="Q150" s="12" t="str">
        <f>IFERROR(P150/(I150*INDEX('Trade Log'!$P$5:$P$204,MATCH(A150,'Trade Log'!$A$5:$A$204,0))*100+IFERROR(INDEX('Trade Log'!$Q$5:$Q$204,MATCH(A150,'Trade Log'!$A$5:$A$204,0))*I150/INDEX('Trade Log'!$O$5:$O$204,MATCH(A150,'Trade Log'!$A$5:$A$204,0)),0)),"")</f>
        <v/>
      </c>
      <c r="R150" s="10"/>
    </row>
    <row r="151" spans="1:18">
      <c r="A151" s="2"/>
      <c r="B151" s="4" t="str">
        <f>IF(A151="","",COUNTIF($A$5:A151,A151))</f>
        <v/>
      </c>
      <c r="C151" s="3"/>
      <c r="D151" s="4" t="str">
        <f t="shared" si="7"/>
        <v/>
      </c>
      <c r="E151" s="5"/>
      <c r="F151" s="2"/>
      <c r="G151" s="4" t="str">
        <f>IFERROR(INDEX('Trade Log'!$F$5:$F$204,MATCH(A151,'Trade Log'!$A$5:$A$204,0)),"")</f>
        <v/>
      </c>
      <c r="H151" s="4" t="str">
        <f>IFERROR(INDEX('Trade Log'!$I$5:$I$204,MATCH(A151,'Trade Log'!$A$5:$A$204,0)),"")</f>
        <v/>
      </c>
      <c r="I151" s="7"/>
      <c r="J151" s="8"/>
      <c r="K151" s="8"/>
      <c r="L151" s="8"/>
      <c r="M151" s="2"/>
      <c r="N151" s="9" t="str">
        <f t="shared" si="8"/>
        <v/>
      </c>
      <c r="O151" s="9" t="str">
        <f t="shared" si="9"/>
        <v/>
      </c>
      <c r="P151" s="9" t="str">
        <f>IF(A151="","",O151-(I151*INDEX('Trade Log'!$P$5:$P$204,MATCH(A151,'Trade Log'!$A$5:$A$204,0))*100)-IFERROR(INDEX('Trade Log'!$Q$5:$Q$204,MATCH(A151,'Trade Log'!$A$5:$A$204,0))*I151/INDEX('Trade Log'!$O$5:$O$204,MATCH(A151,'Trade Log'!$A$5:$A$204,0)),0))</f>
        <v/>
      </c>
      <c r="Q151" s="12" t="str">
        <f>IFERROR(P151/(I151*INDEX('Trade Log'!$P$5:$P$204,MATCH(A151,'Trade Log'!$A$5:$A$204,0))*100+IFERROR(INDEX('Trade Log'!$Q$5:$Q$204,MATCH(A151,'Trade Log'!$A$5:$A$204,0))*I151/INDEX('Trade Log'!$O$5:$O$204,MATCH(A151,'Trade Log'!$A$5:$A$204,0)),0)),"")</f>
        <v/>
      </c>
      <c r="R151" s="10"/>
    </row>
    <row r="152" spans="1:18">
      <c r="A152" s="2"/>
      <c r="B152" s="4" t="str">
        <f>IF(A152="","",COUNTIF($A$5:A152,A152))</f>
        <v/>
      </c>
      <c r="C152" s="3"/>
      <c r="D152" s="4" t="str">
        <f t="shared" si="7"/>
        <v/>
      </c>
      <c r="E152" s="5"/>
      <c r="F152" s="2"/>
      <c r="G152" s="4" t="str">
        <f>IFERROR(INDEX('Trade Log'!$F$5:$F$204,MATCH(A152,'Trade Log'!$A$5:$A$204,0)),"")</f>
        <v/>
      </c>
      <c r="H152" s="4" t="str">
        <f>IFERROR(INDEX('Trade Log'!$I$5:$I$204,MATCH(A152,'Trade Log'!$A$5:$A$204,0)),"")</f>
        <v/>
      </c>
      <c r="I152" s="7"/>
      <c r="J152" s="8"/>
      <c r="K152" s="8"/>
      <c r="L152" s="8"/>
      <c r="M152" s="2"/>
      <c r="N152" s="9" t="str">
        <f t="shared" si="8"/>
        <v/>
      </c>
      <c r="O152" s="9" t="str">
        <f t="shared" si="9"/>
        <v/>
      </c>
      <c r="P152" s="9" t="str">
        <f>IF(A152="","",O152-(I152*INDEX('Trade Log'!$P$5:$P$204,MATCH(A152,'Trade Log'!$A$5:$A$204,0))*100)-IFERROR(INDEX('Trade Log'!$Q$5:$Q$204,MATCH(A152,'Trade Log'!$A$5:$A$204,0))*I152/INDEX('Trade Log'!$O$5:$O$204,MATCH(A152,'Trade Log'!$A$5:$A$204,0)),0))</f>
        <v/>
      </c>
      <c r="Q152" s="12" t="str">
        <f>IFERROR(P152/(I152*INDEX('Trade Log'!$P$5:$P$204,MATCH(A152,'Trade Log'!$A$5:$A$204,0))*100+IFERROR(INDEX('Trade Log'!$Q$5:$Q$204,MATCH(A152,'Trade Log'!$A$5:$A$204,0))*I152/INDEX('Trade Log'!$O$5:$O$204,MATCH(A152,'Trade Log'!$A$5:$A$204,0)),0)),"")</f>
        <v/>
      </c>
      <c r="R152" s="10"/>
    </row>
    <row r="153" spans="1:18">
      <c r="A153" s="2"/>
      <c r="B153" s="4" t="str">
        <f>IF(A153="","",COUNTIF($A$5:A153,A153))</f>
        <v/>
      </c>
      <c r="C153" s="3"/>
      <c r="D153" s="4" t="str">
        <f t="shared" si="7"/>
        <v/>
      </c>
      <c r="E153" s="5"/>
      <c r="F153" s="2"/>
      <c r="G153" s="4" t="str">
        <f>IFERROR(INDEX('Trade Log'!$F$5:$F$204,MATCH(A153,'Trade Log'!$A$5:$A$204,0)),"")</f>
        <v/>
      </c>
      <c r="H153" s="4" t="str">
        <f>IFERROR(INDEX('Trade Log'!$I$5:$I$204,MATCH(A153,'Trade Log'!$A$5:$A$204,0)),"")</f>
        <v/>
      </c>
      <c r="I153" s="7"/>
      <c r="J153" s="8"/>
      <c r="K153" s="8"/>
      <c r="L153" s="8"/>
      <c r="M153" s="2"/>
      <c r="N153" s="9" t="str">
        <f t="shared" si="8"/>
        <v/>
      </c>
      <c r="O153" s="9" t="str">
        <f t="shared" si="9"/>
        <v/>
      </c>
      <c r="P153" s="9" t="str">
        <f>IF(A153="","",O153-(I153*INDEX('Trade Log'!$P$5:$P$204,MATCH(A153,'Trade Log'!$A$5:$A$204,0))*100)-IFERROR(INDEX('Trade Log'!$Q$5:$Q$204,MATCH(A153,'Trade Log'!$A$5:$A$204,0))*I153/INDEX('Trade Log'!$O$5:$O$204,MATCH(A153,'Trade Log'!$A$5:$A$204,0)),0))</f>
        <v/>
      </c>
      <c r="Q153" s="12" t="str">
        <f>IFERROR(P153/(I153*INDEX('Trade Log'!$P$5:$P$204,MATCH(A153,'Trade Log'!$A$5:$A$204,0))*100+IFERROR(INDEX('Trade Log'!$Q$5:$Q$204,MATCH(A153,'Trade Log'!$A$5:$A$204,0))*I153/INDEX('Trade Log'!$O$5:$O$204,MATCH(A153,'Trade Log'!$A$5:$A$204,0)),0)),"")</f>
        <v/>
      </c>
      <c r="R153" s="10"/>
    </row>
    <row r="154" spans="1:18">
      <c r="A154" s="2"/>
      <c r="B154" s="4" t="str">
        <f>IF(A154="","",COUNTIF($A$5:A154,A154))</f>
        <v/>
      </c>
      <c r="C154" s="3"/>
      <c r="D154" s="4" t="str">
        <f t="shared" si="7"/>
        <v/>
      </c>
      <c r="E154" s="5"/>
      <c r="F154" s="2"/>
      <c r="G154" s="4" t="str">
        <f>IFERROR(INDEX('Trade Log'!$F$5:$F$204,MATCH(A154,'Trade Log'!$A$5:$A$204,0)),"")</f>
        <v/>
      </c>
      <c r="H154" s="4" t="str">
        <f>IFERROR(INDEX('Trade Log'!$I$5:$I$204,MATCH(A154,'Trade Log'!$A$5:$A$204,0)),"")</f>
        <v/>
      </c>
      <c r="I154" s="7"/>
      <c r="J154" s="8"/>
      <c r="K154" s="8"/>
      <c r="L154" s="8"/>
      <c r="M154" s="2"/>
      <c r="N154" s="9" t="str">
        <f t="shared" si="8"/>
        <v/>
      </c>
      <c r="O154" s="9" t="str">
        <f t="shared" si="9"/>
        <v/>
      </c>
      <c r="P154" s="9" t="str">
        <f>IF(A154="","",O154-(I154*INDEX('Trade Log'!$P$5:$P$204,MATCH(A154,'Trade Log'!$A$5:$A$204,0))*100)-IFERROR(INDEX('Trade Log'!$Q$5:$Q$204,MATCH(A154,'Trade Log'!$A$5:$A$204,0))*I154/INDEX('Trade Log'!$O$5:$O$204,MATCH(A154,'Trade Log'!$A$5:$A$204,0)),0))</f>
        <v/>
      </c>
      <c r="Q154" s="12" t="str">
        <f>IFERROR(P154/(I154*INDEX('Trade Log'!$P$5:$P$204,MATCH(A154,'Trade Log'!$A$5:$A$204,0))*100+IFERROR(INDEX('Trade Log'!$Q$5:$Q$204,MATCH(A154,'Trade Log'!$A$5:$A$204,0))*I154/INDEX('Trade Log'!$O$5:$O$204,MATCH(A154,'Trade Log'!$A$5:$A$204,0)),0)),"")</f>
        <v/>
      </c>
      <c r="R154" s="10"/>
    </row>
    <row r="155" spans="1:18">
      <c r="A155" s="2"/>
      <c r="B155" s="4" t="str">
        <f>IF(A155="","",COUNTIF($A$5:A155,A155))</f>
        <v/>
      </c>
      <c r="C155" s="3"/>
      <c r="D155" s="4" t="str">
        <f t="shared" si="7"/>
        <v/>
      </c>
      <c r="E155" s="5"/>
      <c r="F155" s="2"/>
      <c r="G155" s="4" t="str">
        <f>IFERROR(INDEX('Trade Log'!$F$5:$F$204,MATCH(A155,'Trade Log'!$A$5:$A$204,0)),"")</f>
        <v/>
      </c>
      <c r="H155" s="4" t="str">
        <f>IFERROR(INDEX('Trade Log'!$I$5:$I$204,MATCH(A155,'Trade Log'!$A$5:$A$204,0)),"")</f>
        <v/>
      </c>
      <c r="I155" s="7"/>
      <c r="J155" s="8"/>
      <c r="K155" s="8"/>
      <c r="L155" s="8"/>
      <c r="M155" s="2"/>
      <c r="N155" s="9" t="str">
        <f t="shared" si="8"/>
        <v/>
      </c>
      <c r="O155" s="9" t="str">
        <f t="shared" si="9"/>
        <v/>
      </c>
      <c r="P155" s="9" t="str">
        <f>IF(A155="","",O155-(I155*INDEX('Trade Log'!$P$5:$P$204,MATCH(A155,'Trade Log'!$A$5:$A$204,0))*100)-IFERROR(INDEX('Trade Log'!$Q$5:$Q$204,MATCH(A155,'Trade Log'!$A$5:$A$204,0))*I155/INDEX('Trade Log'!$O$5:$O$204,MATCH(A155,'Trade Log'!$A$5:$A$204,0)),0))</f>
        <v/>
      </c>
      <c r="Q155" s="12" t="str">
        <f>IFERROR(P155/(I155*INDEX('Trade Log'!$P$5:$P$204,MATCH(A155,'Trade Log'!$A$5:$A$204,0))*100+IFERROR(INDEX('Trade Log'!$Q$5:$Q$204,MATCH(A155,'Trade Log'!$A$5:$A$204,0))*I155/INDEX('Trade Log'!$O$5:$O$204,MATCH(A155,'Trade Log'!$A$5:$A$204,0)),0)),"")</f>
        <v/>
      </c>
      <c r="R155" s="10"/>
    </row>
    <row r="156" spans="1:18">
      <c r="A156" s="2"/>
      <c r="B156" s="4" t="str">
        <f>IF(A156="","",COUNTIF($A$5:A156,A156))</f>
        <v/>
      </c>
      <c r="C156" s="3"/>
      <c r="D156" s="4" t="str">
        <f t="shared" si="7"/>
        <v/>
      </c>
      <c r="E156" s="5"/>
      <c r="F156" s="2"/>
      <c r="G156" s="4" t="str">
        <f>IFERROR(INDEX('Trade Log'!$F$5:$F$204,MATCH(A156,'Trade Log'!$A$5:$A$204,0)),"")</f>
        <v/>
      </c>
      <c r="H156" s="4" t="str">
        <f>IFERROR(INDEX('Trade Log'!$I$5:$I$204,MATCH(A156,'Trade Log'!$A$5:$A$204,0)),"")</f>
        <v/>
      </c>
      <c r="I156" s="7"/>
      <c r="J156" s="8"/>
      <c r="K156" s="8"/>
      <c r="L156" s="8"/>
      <c r="M156" s="2"/>
      <c r="N156" s="9" t="str">
        <f t="shared" si="8"/>
        <v/>
      </c>
      <c r="O156" s="9" t="str">
        <f t="shared" si="9"/>
        <v/>
      </c>
      <c r="P156" s="9" t="str">
        <f>IF(A156="","",O156-(I156*INDEX('Trade Log'!$P$5:$P$204,MATCH(A156,'Trade Log'!$A$5:$A$204,0))*100)-IFERROR(INDEX('Trade Log'!$Q$5:$Q$204,MATCH(A156,'Trade Log'!$A$5:$A$204,0))*I156/INDEX('Trade Log'!$O$5:$O$204,MATCH(A156,'Trade Log'!$A$5:$A$204,0)),0))</f>
        <v/>
      </c>
      <c r="Q156" s="12" t="str">
        <f>IFERROR(P156/(I156*INDEX('Trade Log'!$P$5:$P$204,MATCH(A156,'Trade Log'!$A$5:$A$204,0))*100+IFERROR(INDEX('Trade Log'!$Q$5:$Q$204,MATCH(A156,'Trade Log'!$A$5:$A$204,0))*I156/INDEX('Trade Log'!$O$5:$O$204,MATCH(A156,'Trade Log'!$A$5:$A$204,0)),0)),"")</f>
        <v/>
      </c>
      <c r="R156" s="10"/>
    </row>
    <row r="157" spans="1:18">
      <c r="A157" s="2"/>
      <c r="B157" s="4" t="str">
        <f>IF(A157="","",COUNTIF($A$5:A157,A157))</f>
        <v/>
      </c>
      <c r="C157" s="3"/>
      <c r="D157" s="4" t="str">
        <f t="shared" si="7"/>
        <v/>
      </c>
      <c r="E157" s="5"/>
      <c r="F157" s="2"/>
      <c r="G157" s="4" t="str">
        <f>IFERROR(INDEX('Trade Log'!$F$5:$F$204,MATCH(A157,'Trade Log'!$A$5:$A$204,0)),"")</f>
        <v/>
      </c>
      <c r="H157" s="4" t="str">
        <f>IFERROR(INDEX('Trade Log'!$I$5:$I$204,MATCH(A157,'Trade Log'!$A$5:$A$204,0)),"")</f>
        <v/>
      </c>
      <c r="I157" s="7"/>
      <c r="J157" s="8"/>
      <c r="K157" s="8"/>
      <c r="L157" s="8"/>
      <c r="M157" s="2"/>
      <c r="N157" s="9" t="str">
        <f t="shared" si="8"/>
        <v/>
      </c>
      <c r="O157" s="9" t="str">
        <f t="shared" si="9"/>
        <v/>
      </c>
      <c r="P157" s="9" t="str">
        <f>IF(A157="","",O157-(I157*INDEX('Trade Log'!$P$5:$P$204,MATCH(A157,'Trade Log'!$A$5:$A$204,0))*100)-IFERROR(INDEX('Trade Log'!$Q$5:$Q$204,MATCH(A157,'Trade Log'!$A$5:$A$204,0))*I157/INDEX('Trade Log'!$O$5:$O$204,MATCH(A157,'Trade Log'!$A$5:$A$204,0)),0))</f>
        <v/>
      </c>
      <c r="Q157" s="12" t="str">
        <f>IFERROR(P157/(I157*INDEX('Trade Log'!$P$5:$P$204,MATCH(A157,'Trade Log'!$A$5:$A$204,0))*100+IFERROR(INDEX('Trade Log'!$Q$5:$Q$204,MATCH(A157,'Trade Log'!$A$5:$A$204,0))*I157/INDEX('Trade Log'!$O$5:$O$204,MATCH(A157,'Trade Log'!$A$5:$A$204,0)),0)),"")</f>
        <v/>
      </c>
      <c r="R157" s="10"/>
    </row>
    <row r="158" spans="1:18">
      <c r="A158" s="2"/>
      <c r="B158" s="4" t="str">
        <f>IF(A158="","",COUNTIF($A$5:A158,A158))</f>
        <v/>
      </c>
      <c r="C158" s="3"/>
      <c r="D158" s="4" t="str">
        <f t="shared" si="7"/>
        <v/>
      </c>
      <c r="E158" s="5"/>
      <c r="F158" s="2"/>
      <c r="G158" s="4" t="str">
        <f>IFERROR(INDEX('Trade Log'!$F$5:$F$204,MATCH(A158,'Trade Log'!$A$5:$A$204,0)),"")</f>
        <v/>
      </c>
      <c r="H158" s="4" t="str">
        <f>IFERROR(INDEX('Trade Log'!$I$5:$I$204,MATCH(A158,'Trade Log'!$A$5:$A$204,0)),"")</f>
        <v/>
      </c>
      <c r="I158" s="7"/>
      <c r="J158" s="8"/>
      <c r="K158" s="8"/>
      <c r="L158" s="8"/>
      <c r="M158" s="2"/>
      <c r="N158" s="9" t="str">
        <f t="shared" si="8"/>
        <v/>
      </c>
      <c r="O158" s="9" t="str">
        <f t="shared" si="9"/>
        <v/>
      </c>
      <c r="P158" s="9" t="str">
        <f>IF(A158="","",O158-(I158*INDEX('Trade Log'!$P$5:$P$204,MATCH(A158,'Trade Log'!$A$5:$A$204,0))*100)-IFERROR(INDEX('Trade Log'!$Q$5:$Q$204,MATCH(A158,'Trade Log'!$A$5:$A$204,0))*I158/INDEX('Trade Log'!$O$5:$O$204,MATCH(A158,'Trade Log'!$A$5:$A$204,0)),0))</f>
        <v/>
      </c>
      <c r="Q158" s="12" t="str">
        <f>IFERROR(P158/(I158*INDEX('Trade Log'!$P$5:$P$204,MATCH(A158,'Trade Log'!$A$5:$A$204,0))*100+IFERROR(INDEX('Trade Log'!$Q$5:$Q$204,MATCH(A158,'Trade Log'!$A$5:$A$204,0))*I158/INDEX('Trade Log'!$O$5:$O$204,MATCH(A158,'Trade Log'!$A$5:$A$204,0)),0)),"")</f>
        <v/>
      </c>
      <c r="R158" s="10"/>
    </row>
    <row r="159" spans="1:18">
      <c r="A159" s="2"/>
      <c r="B159" s="4" t="str">
        <f>IF(A159="","",COUNTIF($A$5:A159,A159))</f>
        <v/>
      </c>
      <c r="C159" s="3"/>
      <c r="D159" s="4" t="str">
        <f t="shared" si="7"/>
        <v/>
      </c>
      <c r="E159" s="5"/>
      <c r="F159" s="2"/>
      <c r="G159" s="4" t="str">
        <f>IFERROR(INDEX('Trade Log'!$F$5:$F$204,MATCH(A159,'Trade Log'!$A$5:$A$204,0)),"")</f>
        <v/>
      </c>
      <c r="H159" s="4" t="str">
        <f>IFERROR(INDEX('Trade Log'!$I$5:$I$204,MATCH(A159,'Trade Log'!$A$5:$A$204,0)),"")</f>
        <v/>
      </c>
      <c r="I159" s="7"/>
      <c r="J159" s="8"/>
      <c r="K159" s="8"/>
      <c r="L159" s="8"/>
      <c r="M159" s="2"/>
      <c r="N159" s="9" t="str">
        <f t="shared" si="8"/>
        <v/>
      </c>
      <c r="O159" s="9" t="str">
        <f t="shared" si="9"/>
        <v/>
      </c>
      <c r="P159" s="9" t="str">
        <f>IF(A159="","",O159-(I159*INDEX('Trade Log'!$P$5:$P$204,MATCH(A159,'Trade Log'!$A$5:$A$204,0))*100)-IFERROR(INDEX('Trade Log'!$Q$5:$Q$204,MATCH(A159,'Trade Log'!$A$5:$A$204,0))*I159/INDEX('Trade Log'!$O$5:$O$204,MATCH(A159,'Trade Log'!$A$5:$A$204,0)),0))</f>
        <v/>
      </c>
      <c r="Q159" s="12" t="str">
        <f>IFERROR(P159/(I159*INDEX('Trade Log'!$P$5:$P$204,MATCH(A159,'Trade Log'!$A$5:$A$204,0))*100+IFERROR(INDEX('Trade Log'!$Q$5:$Q$204,MATCH(A159,'Trade Log'!$A$5:$A$204,0))*I159/INDEX('Trade Log'!$O$5:$O$204,MATCH(A159,'Trade Log'!$A$5:$A$204,0)),0)),"")</f>
        <v/>
      </c>
      <c r="R159" s="10"/>
    </row>
    <row r="160" spans="1:18">
      <c r="A160" s="2"/>
      <c r="B160" s="4" t="str">
        <f>IF(A160="","",COUNTIF($A$5:A160,A160))</f>
        <v/>
      </c>
      <c r="C160" s="3"/>
      <c r="D160" s="4" t="str">
        <f t="shared" si="7"/>
        <v/>
      </c>
      <c r="E160" s="5"/>
      <c r="F160" s="2"/>
      <c r="G160" s="4" t="str">
        <f>IFERROR(INDEX('Trade Log'!$F$5:$F$204,MATCH(A160,'Trade Log'!$A$5:$A$204,0)),"")</f>
        <v/>
      </c>
      <c r="H160" s="4" t="str">
        <f>IFERROR(INDEX('Trade Log'!$I$5:$I$204,MATCH(A160,'Trade Log'!$A$5:$A$204,0)),"")</f>
        <v/>
      </c>
      <c r="I160" s="7"/>
      <c r="J160" s="8"/>
      <c r="K160" s="8"/>
      <c r="L160" s="8"/>
      <c r="M160" s="2"/>
      <c r="N160" s="9" t="str">
        <f t="shared" si="8"/>
        <v/>
      </c>
      <c r="O160" s="9" t="str">
        <f t="shared" si="9"/>
        <v/>
      </c>
      <c r="P160" s="9" t="str">
        <f>IF(A160="","",O160-(I160*INDEX('Trade Log'!$P$5:$P$204,MATCH(A160,'Trade Log'!$A$5:$A$204,0))*100)-IFERROR(INDEX('Trade Log'!$Q$5:$Q$204,MATCH(A160,'Trade Log'!$A$5:$A$204,0))*I160/INDEX('Trade Log'!$O$5:$O$204,MATCH(A160,'Trade Log'!$A$5:$A$204,0)),0))</f>
        <v/>
      </c>
      <c r="Q160" s="12" t="str">
        <f>IFERROR(P160/(I160*INDEX('Trade Log'!$P$5:$P$204,MATCH(A160,'Trade Log'!$A$5:$A$204,0))*100+IFERROR(INDEX('Trade Log'!$Q$5:$Q$204,MATCH(A160,'Trade Log'!$A$5:$A$204,0))*I160/INDEX('Trade Log'!$O$5:$O$204,MATCH(A160,'Trade Log'!$A$5:$A$204,0)),0)),"")</f>
        <v/>
      </c>
      <c r="R160" s="10"/>
    </row>
    <row r="161" spans="1:18">
      <c r="A161" s="2"/>
      <c r="B161" s="4" t="str">
        <f>IF(A161="","",COUNTIF($A$5:A161,A161))</f>
        <v/>
      </c>
      <c r="C161" s="3"/>
      <c r="D161" s="4" t="str">
        <f t="shared" si="7"/>
        <v/>
      </c>
      <c r="E161" s="5"/>
      <c r="F161" s="2"/>
      <c r="G161" s="4" t="str">
        <f>IFERROR(INDEX('Trade Log'!$F$5:$F$204,MATCH(A161,'Trade Log'!$A$5:$A$204,0)),"")</f>
        <v/>
      </c>
      <c r="H161" s="4" t="str">
        <f>IFERROR(INDEX('Trade Log'!$I$5:$I$204,MATCH(A161,'Trade Log'!$A$5:$A$204,0)),"")</f>
        <v/>
      </c>
      <c r="I161" s="7"/>
      <c r="J161" s="8"/>
      <c r="K161" s="8"/>
      <c r="L161" s="8"/>
      <c r="M161" s="2"/>
      <c r="N161" s="9" t="str">
        <f t="shared" si="8"/>
        <v/>
      </c>
      <c r="O161" s="9" t="str">
        <f t="shared" si="9"/>
        <v/>
      </c>
      <c r="P161" s="9" t="str">
        <f>IF(A161="","",O161-(I161*INDEX('Trade Log'!$P$5:$P$204,MATCH(A161,'Trade Log'!$A$5:$A$204,0))*100)-IFERROR(INDEX('Trade Log'!$Q$5:$Q$204,MATCH(A161,'Trade Log'!$A$5:$A$204,0))*I161/INDEX('Trade Log'!$O$5:$O$204,MATCH(A161,'Trade Log'!$A$5:$A$204,0)),0))</f>
        <v/>
      </c>
      <c r="Q161" s="12" t="str">
        <f>IFERROR(P161/(I161*INDEX('Trade Log'!$P$5:$P$204,MATCH(A161,'Trade Log'!$A$5:$A$204,0))*100+IFERROR(INDEX('Trade Log'!$Q$5:$Q$204,MATCH(A161,'Trade Log'!$A$5:$A$204,0))*I161/INDEX('Trade Log'!$O$5:$O$204,MATCH(A161,'Trade Log'!$A$5:$A$204,0)),0)),"")</f>
        <v/>
      </c>
      <c r="R161" s="10"/>
    </row>
    <row r="162" spans="1:18">
      <c r="A162" s="2"/>
      <c r="B162" s="4" t="str">
        <f>IF(A162="","",COUNTIF($A$5:A162,A162))</f>
        <v/>
      </c>
      <c r="C162" s="3"/>
      <c r="D162" s="4" t="str">
        <f t="shared" si="7"/>
        <v/>
      </c>
      <c r="E162" s="5"/>
      <c r="F162" s="2"/>
      <c r="G162" s="4" t="str">
        <f>IFERROR(INDEX('Trade Log'!$F$5:$F$204,MATCH(A162,'Trade Log'!$A$5:$A$204,0)),"")</f>
        <v/>
      </c>
      <c r="H162" s="4" t="str">
        <f>IFERROR(INDEX('Trade Log'!$I$5:$I$204,MATCH(A162,'Trade Log'!$A$5:$A$204,0)),"")</f>
        <v/>
      </c>
      <c r="I162" s="7"/>
      <c r="J162" s="8"/>
      <c r="K162" s="8"/>
      <c r="L162" s="8"/>
      <c r="M162" s="2"/>
      <c r="N162" s="9" t="str">
        <f t="shared" si="8"/>
        <v/>
      </c>
      <c r="O162" s="9" t="str">
        <f t="shared" si="9"/>
        <v/>
      </c>
      <c r="P162" s="9" t="str">
        <f>IF(A162="","",O162-(I162*INDEX('Trade Log'!$P$5:$P$204,MATCH(A162,'Trade Log'!$A$5:$A$204,0))*100)-IFERROR(INDEX('Trade Log'!$Q$5:$Q$204,MATCH(A162,'Trade Log'!$A$5:$A$204,0))*I162/INDEX('Trade Log'!$O$5:$O$204,MATCH(A162,'Trade Log'!$A$5:$A$204,0)),0))</f>
        <v/>
      </c>
      <c r="Q162" s="12" t="str">
        <f>IFERROR(P162/(I162*INDEX('Trade Log'!$P$5:$P$204,MATCH(A162,'Trade Log'!$A$5:$A$204,0))*100+IFERROR(INDEX('Trade Log'!$Q$5:$Q$204,MATCH(A162,'Trade Log'!$A$5:$A$204,0))*I162/INDEX('Trade Log'!$O$5:$O$204,MATCH(A162,'Trade Log'!$A$5:$A$204,0)),0)),"")</f>
        <v/>
      </c>
      <c r="R162" s="10"/>
    </row>
    <row r="163" spans="1:18">
      <c r="A163" s="2"/>
      <c r="B163" s="4" t="str">
        <f>IF(A163="","",COUNTIF($A$5:A163,A163))</f>
        <v/>
      </c>
      <c r="C163" s="3"/>
      <c r="D163" s="4" t="str">
        <f t="shared" si="7"/>
        <v/>
      </c>
      <c r="E163" s="5"/>
      <c r="F163" s="2"/>
      <c r="G163" s="4" t="str">
        <f>IFERROR(INDEX('Trade Log'!$F$5:$F$204,MATCH(A163,'Trade Log'!$A$5:$A$204,0)),"")</f>
        <v/>
      </c>
      <c r="H163" s="4" t="str">
        <f>IFERROR(INDEX('Trade Log'!$I$5:$I$204,MATCH(A163,'Trade Log'!$A$5:$A$204,0)),"")</f>
        <v/>
      </c>
      <c r="I163" s="7"/>
      <c r="J163" s="8"/>
      <c r="K163" s="8"/>
      <c r="L163" s="8"/>
      <c r="M163" s="2"/>
      <c r="N163" s="9" t="str">
        <f t="shared" si="8"/>
        <v/>
      </c>
      <c r="O163" s="9" t="str">
        <f t="shared" si="9"/>
        <v/>
      </c>
      <c r="P163" s="9" t="str">
        <f>IF(A163="","",O163-(I163*INDEX('Trade Log'!$P$5:$P$204,MATCH(A163,'Trade Log'!$A$5:$A$204,0))*100)-IFERROR(INDEX('Trade Log'!$Q$5:$Q$204,MATCH(A163,'Trade Log'!$A$5:$A$204,0))*I163/INDEX('Trade Log'!$O$5:$O$204,MATCH(A163,'Trade Log'!$A$5:$A$204,0)),0))</f>
        <v/>
      </c>
      <c r="Q163" s="12" t="str">
        <f>IFERROR(P163/(I163*INDEX('Trade Log'!$P$5:$P$204,MATCH(A163,'Trade Log'!$A$5:$A$204,0))*100+IFERROR(INDEX('Trade Log'!$Q$5:$Q$204,MATCH(A163,'Trade Log'!$A$5:$A$204,0))*I163/INDEX('Trade Log'!$O$5:$O$204,MATCH(A163,'Trade Log'!$A$5:$A$204,0)),0)),"")</f>
        <v/>
      </c>
      <c r="R163" s="10"/>
    </row>
    <row r="164" spans="1:18">
      <c r="A164" s="2"/>
      <c r="B164" s="4" t="str">
        <f>IF(A164="","",COUNTIF($A$5:A164,A164))</f>
        <v/>
      </c>
      <c r="C164" s="3"/>
      <c r="D164" s="4" t="str">
        <f t="shared" si="7"/>
        <v/>
      </c>
      <c r="E164" s="5"/>
      <c r="F164" s="2"/>
      <c r="G164" s="4" t="str">
        <f>IFERROR(INDEX('Trade Log'!$F$5:$F$204,MATCH(A164,'Trade Log'!$A$5:$A$204,0)),"")</f>
        <v/>
      </c>
      <c r="H164" s="4" t="str">
        <f>IFERROR(INDEX('Trade Log'!$I$5:$I$204,MATCH(A164,'Trade Log'!$A$5:$A$204,0)),"")</f>
        <v/>
      </c>
      <c r="I164" s="7"/>
      <c r="J164" s="8"/>
      <c r="K164" s="8"/>
      <c r="L164" s="8"/>
      <c r="M164" s="2"/>
      <c r="N164" s="9" t="str">
        <f t="shared" si="8"/>
        <v/>
      </c>
      <c r="O164" s="9" t="str">
        <f t="shared" si="9"/>
        <v/>
      </c>
      <c r="P164" s="9" t="str">
        <f>IF(A164="","",O164-(I164*INDEX('Trade Log'!$P$5:$P$204,MATCH(A164,'Trade Log'!$A$5:$A$204,0))*100)-IFERROR(INDEX('Trade Log'!$Q$5:$Q$204,MATCH(A164,'Trade Log'!$A$5:$A$204,0))*I164/INDEX('Trade Log'!$O$5:$O$204,MATCH(A164,'Trade Log'!$A$5:$A$204,0)),0))</f>
        <v/>
      </c>
      <c r="Q164" s="12" t="str">
        <f>IFERROR(P164/(I164*INDEX('Trade Log'!$P$5:$P$204,MATCH(A164,'Trade Log'!$A$5:$A$204,0))*100+IFERROR(INDEX('Trade Log'!$Q$5:$Q$204,MATCH(A164,'Trade Log'!$A$5:$A$204,0))*I164/INDEX('Trade Log'!$O$5:$O$204,MATCH(A164,'Trade Log'!$A$5:$A$204,0)),0)),"")</f>
        <v/>
      </c>
      <c r="R164" s="10"/>
    </row>
    <row r="165" spans="1:18">
      <c r="A165" s="2"/>
      <c r="B165" s="4" t="str">
        <f>IF(A165="","",COUNTIF($A$5:A165,A165))</f>
        <v/>
      </c>
      <c r="C165" s="3"/>
      <c r="D165" s="4" t="str">
        <f t="shared" si="7"/>
        <v/>
      </c>
      <c r="E165" s="5"/>
      <c r="F165" s="2"/>
      <c r="G165" s="4" t="str">
        <f>IFERROR(INDEX('Trade Log'!$F$5:$F$204,MATCH(A165,'Trade Log'!$A$5:$A$204,0)),"")</f>
        <v/>
      </c>
      <c r="H165" s="4" t="str">
        <f>IFERROR(INDEX('Trade Log'!$I$5:$I$204,MATCH(A165,'Trade Log'!$A$5:$A$204,0)),"")</f>
        <v/>
      </c>
      <c r="I165" s="7"/>
      <c r="J165" s="8"/>
      <c r="K165" s="8"/>
      <c r="L165" s="8"/>
      <c r="M165" s="2"/>
      <c r="N165" s="9" t="str">
        <f t="shared" si="8"/>
        <v/>
      </c>
      <c r="O165" s="9" t="str">
        <f t="shared" si="9"/>
        <v/>
      </c>
      <c r="P165" s="9" t="str">
        <f>IF(A165="","",O165-(I165*INDEX('Trade Log'!$P$5:$P$204,MATCH(A165,'Trade Log'!$A$5:$A$204,0))*100)-IFERROR(INDEX('Trade Log'!$Q$5:$Q$204,MATCH(A165,'Trade Log'!$A$5:$A$204,0))*I165/INDEX('Trade Log'!$O$5:$O$204,MATCH(A165,'Trade Log'!$A$5:$A$204,0)),0))</f>
        <v/>
      </c>
      <c r="Q165" s="12" t="str">
        <f>IFERROR(P165/(I165*INDEX('Trade Log'!$P$5:$P$204,MATCH(A165,'Trade Log'!$A$5:$A$204,0))*100+IFERROR(INDEX('Trade Log'!$Q$5:$Q$204,MATCH(A165,'Trade Log'!$A$5:$A$204,0))*I165/INDEX('Trade Log'!$O$5:$O$204,MATCH(A165,'Trade Log'!$A$5:$A$204,0)),0)),"")</f>
        <v/>
      </c>
      <c r="R165" s="10"/>
    </row>
    <row r="166" spans="1:18">
      <c r="A166" s="2"/>
      <c r="B166" s="4" t="str">
        <f>IF(A166="","",COUNTIF($A$5:A166,A166))</f>
        <v/>
      </c>
      <c r="C166" s="3"/>
      <c r="D166" s="4" t="str">
        <f t="shared" si="7"/>
        <v/>
      </c>
      <c r="E166" s="5"/>
      <c r="F166" s="2"/>
      <c r="G166" s="4" t="str">
        <f>IFERROR(INDEX('Trade Log'!$F$5:$F$204,MATCH(A166,'Trade Log'!$A$5:$A$204,0)),"")</f>
        <v/>
      </c>
      <c r="H166" s="4" t="str">
        <f>IFERROR(INDEX('Trade Log'!$I$5:$I$204,MATCH(A166,'Trade Log'!$A$5:$A$204,0)),"")</f>
        <v/>
      </c>
      <c r="I166" s="7"/>
      <c r="J166" s="8"/>
      <c r="K166" s="8"/>
      <c r="L166" s="8"/>
      <c r="M166" s="2"/>
      <c r="N166" s="9" t="str">
        <f t="shared" si="8"/>
        <v/>
      </c>
      <c r="O166" s="9" t="str">
        <f t="shared" si="9"/>
        <v/>
      </c>
      <c r="P166" s="9" t="str">
        <f>IF(A166="","",O166-(I166*INDEX('Trade Log'!$P$5:$P$204,MATCH(A166,'Trade Log'!$A$5:$A$204,0))*100)-IFERROR(INDEX('Trade Log'!$Q$5:$Q$204,MATCH(A166,'Trade Log'!$A$5:$A$204,0))*I166/INDEX('Trade Log'!$O$5:$O$204,MATCH(A166,'Trade Log'!$A$5:$A$204,0)),0))</f>
        <v/>
      </c>
      <c r="Q166" s="12" t="str">
        <f>IFERROR(P166/(I166*INDEX('Trade Log'!$P$5:$P$204,MATCH(A166,'Trade Log'!$A$5:$A$204,0))*100+IFERROR(INDEX('Trade Log'!$Q$5:$Q$204,MATCH(A166,'Trade Log'!$A$5:$A$204,0))*I166/INDEX('Trade Log'!$O$5:$O$204,MATCH(A166,'Trade Log'!$A$5:$A$204,0)),0)),"")</f>
        <v/>
      </c>
      <c r="R166" s="10"/>
    </row>
    <row r="167" spans="1:18">
      <c r="A167" s="2"/>
      <c r="B167" s="4" t="str">
        <f>IF(A167="","",COUNTIF($A$5:A167,A167))</f>
        <v/>
      </c>
      <c r="C167" s="3"/>
      <c r="D167" s="4" t="str">
        <f t="shared" si="7"/>
        <v/>
      </c>
      <c r="E167" s="5"/>
      <c r="F167" s="2"/>
      <c r="G167" s="4" t="str">
        <f>IFERROR(INDEX('Trade Log'!$F$5:$F$204,MATCH(A167,'Trade Log'!$A$5:$A$204,0)),"")</f>
        <v/>
      </c>
      <c r="H167" s="4" t="str">
        <f>IFERROR(INDEX('Trade Log'!$I$5:$I$204,MATCH(A167,'Trade Log'!$A$5:$A$204,0)),"")</f>
        <v/>
      </c>
      <c r="I167" s="7"/>
      <c r="J167" s="8"/>
      <c r="K167" s="8"/>
      <c r="L167" s="8"/>
      <c r="M167" s="2"/>
      <c r="N167" s="9" t="str">
        <f t="shared" si="8"/>
        <v/>
      </c>
      <c r="O167" s="9" t="str">
        <f t="shared" si="9"/>
        <v/>
      </c>
      <c r="P167" s="9" t="str">
        <f>IF(A167="","",O167-(I167*INDEX('Trade Log'!$P$5:$P$204,MATCH(A167,'Trade Log'!$A$5:$A$204,0))*100)-IFERROR(INDEX('Trade Log'!$Q$5:$Q$204,MATCH(A167,'Trade Log'!$A$5:$A$204,0))*I167/INDEX('Trade Log'!$O$5:$O$204,MATCH(A167,'Trade Log'!$A$5:$A$204,0)),0))</f>
        <v/>
      </c>
      <c r="Q167" s="12" t="str">
        <f>IFERROR(P167/(I167*INDEX('Trade Log'!$P$5:$P$204,MATCH(A167,'Trade Log'!$A$5:$A$204,0))*100+IFERROR(INDEX('Trade Log'!$Q$5:$Q$204,MATCH(A167,'Trade Log'!$A$5:$A$204,0))*I167/INDEX('Trade Log'!$O$5:$O$204,MATCH(A167,'Trade Log'!$A$5:$A$204,0)),0)),"")</f>
        <v/>
      </c>
      <c r="R167" s="10"/>
    </row>
    <row r="168" spans="1:18">
      <c r="A168" s="2"/>
      <c r="B168" s="4" t="str">
        <f>IF(A168="","",COUNTIF($A$5:A168,A168))</f>
        <v/>
      </c>
      <c r="C168" s="3"/>
      <c r="D168" s="4" t="str">
        <f t="shared" si="7"/>
        <v/>
      </c>
      <c r="E168" s="5"/>
      <c r="F168" s="2"/>
      <c r="G168" s="4" t="str">
        <f>IFERROR(INDEX('Trade Log'!$F$5:$F$204,MATCH(A168,'Trade Log'!$A$5:$A$204,0)),"")</f>
        <v/>
      </c>
      <c r="H168" s="4" t="str">
        <f>IFERROR(INDEX('Trade Log'!$I$5:$I$204,MATCH(A168,'Trade Log'!$A$5:$A$204,0)),"")</f>
        <v/>
      </c>
      <c r="I168" s="7"/>
      <c r="J168" s="8"/>
      <c r="K168" s="8"/>
      <c r="L168" s="8"/>
      <c r="M168" s="2"/>
      <c r="N168" s="9" t="str">
        <f t="shared" si="8"/>
        <v/>
      </c>
      <c r="O168" s="9" t="str">
        <f t="shared" si="9"/>
        <v/>
      </c>
      <c r="P168" s="9" t="str">
        <f>IF(A168="","",O168-(I168*INDEX('Trade Log'!$P$5:$P$204,MATCH(A168,'Trade Log'!$A$5:$A$204,0))*100)-IFERROR(INDEX('Trade Log'!$Q$5:$Q$204,MATCH(A168,'Trade Log'!$A$5:$A$204,0))*I168/INDEX('Trade Log'!$O$5:$O$204,MATCH(A168,'Trade Log'!$A$5:$A$204,0)),0))</f>
        <v/>
      </c>
      <c r="Q168" s="12" t="str">
        <f>IFERROR(P168/(I168*INDEX('Trade Log'!$P$5:$P$204,MATCH(A168,'Trade Log'!$A$5:$A$204,0))*100+IFERROR(INDEX('Trade Log'!$Q$5:$Q$204,MATCH(A168,'Trade Log'!$A$5:$A$204,0))*I168/INDEX('Trade Log'!$O$5:$O$204,MATCH(A168,'Trade Log'!$A$5:$A$204,0)),0)),"")</f>
        <v/>
      </c>
      <c r="R168" s="10"/>
    </row>
    <row r="169" spans="1:18">
      <c r="A169" s="2"/>
      <c r="B169" s="4" t="str">
        <f>IF(A169="","",COUNTIF($A$5:A169,A169))</f>
        <v/>
      </c>
      <c r="C169" s="3"/>
      <c r="D169" s="4" t="str">
        <f t="shared" si="7"/>
        <v/>
      </c>
      <c r="E169" s="5"/>
      <c r="F169" s="2"/>
      <c r="G169" s="4" t="str">
        <f>IFERROR(INDEX('Trade Log'!$F$5:$F$204,MATCH(A169,'Trade Log'!$A$5:$A$204,0)),"")</f>
        <v/>
      </c>
      <c r="H169" s="4" t="str">
        <f>IFERROR(INDEX('Trade Log'!$I$5:$I$204,MATCH(A169,'Trade Log'!$A$5:$A$204,0)),"")</f>
        <v/>
      </c>
      <c r="I169" s="7"/>
      <c r="J169" s="8"/>
      <c r="K169" s="8"/>
      <c r="L169" s="8"/>
      <c r="M169" s="2"/>
      <c r="N169" s="9" t="str">
        <f t="shared" si="8"/>
        <v/>
      </c>
      <c r="O169" s="9" t="str">
        <f t="shared" si="9"/>
        <v/>
      </c>
      <c r="P169" s="9" t="str">
        <f>IF(A169="","",O169-(I169*INDEX('Trade Log'!$P$5:$P$204,MATCH(A169,'Trade Log'!$A$5:$A$204,0))*100)-IFERROR(INDEX('Trade Log'!$Q$5:$Q$204,MATCH(A169,'Trade Log'!$A$5:$A$204,0))*I169/INDEX('Trade Log'!$O$5:$O$204,MATCH(A169,'Trade Log'!$A$5:$A$204,0)),0))</f>
        <v/>
      </c>
      <c r="Q169" s="12" t="str">
        <f>IFERROR(P169/(I169*INDEX('Trade Log'!$P$5:$P$204,MATCH(A169,'Trade Log'!$A$5:$A$204,0))*100+IFERROR(INDEX('Trade Log'!$Q$5:$Q$204,MATCH(A169,'Trade Log'!$A$5:$A$204,0))*I169/INDEX('Trade Log'!$O$5:$O$204,MATCH(A169,'Trade Log'!$A$5:$A$204,0)),0)),"")</f>
        <v/>
      </c>
      <c r="R169" s="10"/>
    </row>
    <row r="170" spans="1:18">
      <c r="A170" s="2"/>
      <c r="B170" s="4" t="str">
        <f>IF(A170="","",COUNTIF($A$5:A170,A170))</f>
        <v/>
      </c>
      <c r="C170" s="3"/>
      <c r="D170" s="4" t="str">
        <f t="shared" si="7"/>
        <v/>
      </c>
      <c r="E170" s="5"/>
      <c r="F170" s="2"/>
      <c r="G170" s="4" t="str">
        <f>IFERROR(INDEX('Trade Log'!$F$5:$F$204,MATCH(A170,'Trade Log'!$A$5:$A$204,0)),"")</f>
        <v/>
      </c>
      <c r="H170" s="4" t="str">
        <f>IFERROR(INDEX('Trade Log'!$I$5:$I$204,MATCH(A170,'Trade Log'!$A$5:$A$204,0)),"")</f>
        <v/>
      </c>
      <c r="I170" s="7"/>
      <c r="J170" s="8"/>
      <c r="K170" s="8"/>
      <c r="L170" s="8"/>
      <c r="M170" s="2"/>
      <c r="N170" s="9" t="str">
        <f t="shared" si="8"/>
        <v/>
      </c>
      <c r="O170" s="9" t="str">
        <f t="shared" si="9"/>
        <v/>
      </c>
      <c r="P170" s="9" t="str">
        <f>IF(A170="","",O170-(I170*INDEX('Trade Log'!$P$5:$P$204,MATCH(A170,'Trade Log'!$A$5:$A$204,0))*100)-IFERROR(INDEX('Trade Log'!$Q$5:$Q$204,MATCH(A170,'Trade Log'!$A$5:$A$204,0))*I170/INDEX('Trade Log'!$O$5:$O$204,MATCH(A170,'Trade Log'!$A$5:$A$204,0)),0))</f>
        <v/>
      </c>
      <c r="Q170" s="12" t="str">
        <f>IFERROR(P170/(I170*INDEX('Trade Log'!$P$5:$P$204,MATCH(A170,'Trade Log'!$A$5:$A$204,0))*100+IFERROR(INDEX('Trade Log'!$Q$5:$Q$204,MATCH(A170,'Trade Log'!$A$5:$A$204,0))*I170/INDEX('Trade Log'!$O$5:$O$204,MATCH(A170,'Trade Log'!$A$5:$A$204,0)),0)),"")</f>
        <v/>
      </c>
      <c r="R170" s="10"/>
    </row>
    <row r="171" spans="1:18">
      <c r="A171" s="2"/>
      <c r="B171" s="4" t="str">
        <f>IF(A171="","",COUNTIF($A$5:A171,A171))</f>
        <v/>
      </c>
      <c r="C171" s="3"/>
      <c r="D171" s="4" t="str">
        <f t="shared" si="7"/>
        <v/>
      </c>
      <c r="E171" s="5"/>
      <c r="F171" s="2"/>
      <c r="G171" s="4" t="str">
        <f>IFERROR(INDEX('Trade Log'!$F$5:$F$204,MATCH(A171,'Trade Log'!$A$5:$A$204,0)),"")</f>
        <v/>
      </c>
      <c r="H171" s="4" t="str">
        <f>IFERROR(INDEX('Trade Log'!$I$5:$I$204,MATCH(A171,'Trade Log'!$A$5:$A$204,0)),"")</f>
        <v/>
      </c>
      <c r="I171" s="7"/>
      <c r="J171" s="8"/>
      <c r="K171" s="8"/>
      <c r="L171" s="8"/>
      <c r="M171" s="2"/>
      <c r="N171" s="9" t="str">
        <f t="shared" si="8"/>
        <v/>
      </c>
      <c r="O171" s="9" t="str">
        <f t="shared" si="9"/>
        <v/>
      </c>
      <c r="P171" s="9" t="str">
        <f>IF(A171="","",O171-(I171*INDEX('Trade Log'!$P$5:$P$204,MATCH(A171,'Trade Log'!$A$5:$A$204,0))*100)-IFERROR(INDEX('Trade Log'!$Q$5:$Q$204,MATCH(A171,'Trade Log'!$A$5:$A$204,0))*I171/INDEX('Trade Log'!$O$5:$O$204,MATCH(A171,'Trade Log'!$A$5:$A$204,0)),0))</f>
        <v/>
      </c>
      <c r="Q171" s="12" t="str">
        <f>IFERROR(P171/(I171*INDEX('Trade Log'!$P$5:$P$204,MATCH(A171,'Trade Log'!$A$5:$A$204,0))*100+IFERROR(INDEX('Trade Log'!$Q$5:$Q$204,MATCH(A171,'Trade Log'!$A$5:$A$204,0))*I171/INDEX('Trade Log'!$O$5:$O$204,MATCH(A171,'Trade Log'!$A$5:$A$204,0)),0)),"")</f>
        <v/>
      </c>
      <c r="R171" s="10"/>
    </row>
    <row r="172" spans="1:18">
      <c r="A172" s="2"/>
      <c r="B172" s="4" t="str">
        <f>IF(A172="","",COUNTIF($A$5:A172,A172))</f>
        <v/>
      </c>
      <c r="C172" s="3"/>
      <c r="D172" s="4" t="str">
        <f t="shared" si="7"/>
        <v/>
      </c>
      <c r="E172" s="5"/>
      <c r="F172" s="2"/>
      <c r="G172" s="4" t="str">
        <f>IFERROR(INDEX('Trade Log'!$F$5:$F$204,MATCH(A172,'Trade Log'!$A$5:$A$204,0)),"")</f>
        <v/>
      </c>
      <c r="H172" s="4" t="str">
        <f>IFERROR(INDEX('Trade Log'!$I$5:$I$204,MATCH(A172,'Trade Log'!$A$5:$A$204,0)),"")</f>
        <v/>
      </c>
      <c r="I172" s="7"/>
      <c r="J172" s="8"/>
      <c r="K172" s="8"/>
      <c r="L172" s="8"/>
      <c r="M172" s="2"/>
      <c r="N172" s="9" t="str">
        <f t="shared" si="8"/>
        <v/>
      </c>
      <c r="O172" s="9" t="str">
        <f t="shared" si="9"/>
        <v/>
      </c>
      <c r="P172" s="9" t="str">
        <f>IF(A172="","",O172-(I172*INDEX('Trade Log'!$P$5:$P$204,MATCH(A172,'Trade Log'!$A$5:$A$204,0))*100)-IFERROR(INDEX('Trade Log'!$Q$5:$Q$204,MATCH(A172,'Trade Log'!$A$5:$A$204,0))*I172/INDEX('Trade Log'!$O$5:$O$204,MATCH(A172,'Trade Log'!$A$5:$A$204,0)),0))</f>
        <v/>
      </c>
      <c r="Q172" s="12" t="str">
        <f>IFERROR(P172/(I172*INDEX('Trade Log'!$P$5:$P$204,MATCH(A172,'Trade Log'!$A$5:$A$204,0))*100+IFERROR(INDEX('Trade Log'!$Q$5:$Q$204,MATCH(A172,'Trade Log'!$A$5:$A$204,0))*I172/INDEX('Trade Log'!$O$5:$O$204,MATCH(A172,'Trade Log'!$A$5:$A$204,0)),0)),"")</f>
        <v/>
      </c>
      <c r="R172" s="10"/>
    </row>
    <row r="173" spans="1:18">
      <c r="A173" s="2"/>
      <c r="B173" s="4" t="str">
        <f>IF(A173="","",COUNTIF($A$5:A173,A173))</f>
        <v/>
      </c>
      <c r="C173" s="3"/>
      <c r="D173" s="4" t="str">
        <f t="shared" si="7"/>
        <v/>
      </c>
      <c r="E173" s="5"/>
      <c r="F173" s="2"/>
      <c r="G173" s="4" t="str">
        <f>IFERROR(INDEX('Trade Log'!$F$5:$F$204,MATCH(A173,'Trade Log'!$A$5:$A$204,0)),"")</f>
        <v/>
      </c>
      <c r="H173" s="4" t="str">
        <f>IFERROR(INDEX('Trade Log'!$I$5:$I$204,MATCH(A173,'Trade Log'!$A$5:$A$204,0)),"")</f>
        <v/>
      </c>
      <c r="I173" s="7"/>
      <c r="J173" s="8"/>
      <c r="K173" s="8"/>
      <c r="L173" s="8"/>
      <c r="M173" s="2"/>
      <c r="N173" s="9" t="str">
        <f t="shared" si="8"/>
        <v/>
      </c>
      <c r="O173" s="9" t="str">
        <f t="shared" si="9"/>
        <v/>
      </c>
      <c r="P173" s="9" t="str">
        <f>IF(A173="","",O173-(I173*INDEX('Trade Log'!$P$5:$P$204,MATCH(A173,'Trade Log'!$A$5:$A$204,0))*100)-IFERROR(INDEX('Trade Log'!$Q$5:$Q$204,MATCH(A173,'Trade Log'!$A$5:$A$204,0))*I173/INDEX('Trade Log'!$O$5:$O$204,MATCH(A173,'Trade Log'!$A$5:$A$204,0)),0))</f>
        <v/>
      </c>
      <c r="Q173" s="12" t="str">
        <f>IFERROR(P173/(I173*INDEX('Trade Log'!$P$5:$P$204,MATCH(A173,'Trade Log'!$A$5:$A$204,0))*100+IFERROR(INDEX('Trade Log'!$Q$5:$Q$204,MATCH(A173,'Trade Log'!$A$5:$A$204,0))*I173/INDEX('Trade Log'!$O$5:$O$204,MATCH(A173,'Trade Log'!$A$5:$A$204,0)),0)),"")</f>
        <v/>
      </c>
      <c r="R173" s="10"/>
    </row>
    <row r="174" spans="1:18">
      <c r="A174" s="2"/>
      <c r="B174" s="4" t="str">
        <f>IF(A174="","",COUNTIF($A$5:A174,A174))</f>
        <v/>
      </c>
      <c r="C174" s="3"/>
      <c r="D174" s="4" t="str">
        <f t="shared" si="7"/>
        <v/>
      </c>
      <c r="E174" s="5"/>
      <c r="F174" s="2"/>
      <c r="G174" s="4" t="str">
        <f>IFERROR(INDEX('Trade Log'!$F$5:$F$204,MATCH(A174,'Trade Log'!$A$5:$A$204,0)),"")</f>
        <v/>
      </c>
      <c r="H174" s="4" t="str">
        <f>IFERROR(INDEX('Trade Log'!$I$5:$I$204,MATCH(A174,'Trade Log'!$A$5:$A$204,0)),"")</f>
        <v/>
      </c>
      <c r="I174" s="7"/>
      <c r="J174" s="8"/>
      <c r="K174" s="8"/>
      <c r="L174" s="8"/>
      <c r="M174" s="2"/>
      <c r="N174" s="9" t="str">
        <f t="shared" si="8"/>
        <v/>
      </c>
      <c r="O174" s="9" t="str">
        <f t="shared" si="9"/>
        <v/>
      </c>
      <c r="P174" s="9" t="str">
        <f>IF(A174="","",O174-(I174*INDEX('Trade Log'!$P$5:$P$204,MATCH(A174,'Trade Log'!$A$5:$A$204,0))*100)-IFERROR(INDEX('Trade Log'!$Q$5:$Q$204,MATCH(A174,'Trade Log'!$A$5:$A$204,0))*I174/INDEX('Trade Log'!$O$5:$O$204,MATCH(A174,'Trade Log'!$A$5:$A$204,0)),0))</f>
        <v/>
      </c>
      <c r="Q174" s="12" t="str">
        <f>IFERROR(P174/(I174*INDEX('Trade Log'!$P$5:$P$204,MATCH(A174,'Trade Log'!$A$5:$A$204,0))*100+IFERROR(INDEX('Trade Log'!$Q$5:$Q$204,MATCH(A174,'Trade Log'!$A$5:$A$204,0))*I174/INDEX('Trade Log'!$O$5:$O$204,MATCH(A174,'Trade Log'!$A$5:$A$204,0)),0)),"")</f>
        <v/>
      </c>
      <c r="R174" s="10"/>
    </row>
    <row r="175" spans="1:18">
      <c r="A175" s="2"/>
      <c r="B175" s="4" t="str">
        <f>IF(A175="","",COUNTIF($A$5:A175,A175))</f>
        <v/>
      </c>
      <c r="C175" s="3"/>
      <c r="D175" s="4" t="str">
        <f t="shared" si="7"/>
        <v/>
      </c>
      <c r="E175" s="5"/>
      <c r="F175" s="2"/>
      <c r="G175" s="4" t="str">
        <f>IFERROR(INDEX('Trade Log'!$F$5:$F$204,MATCH(A175,'Trade Log'!$A$5:$A$204,0)),"")</f>
        <v/>
      </c>
      <c r="H175" s="4" t="str">
        <f>IFERROR(INDEX('Trade Log'!$I$5:$I$204,MATCH(A175,'Trade Log'!$A$5:$A$204,0)),"")</f>
        <v/>
      </c>
      <c r="I175" s="7"/>
      <c r="J175" s="8"/>
      <c r="K175" s="8"/>
      <c r="L175" s="8"/>
      <c r="M175" s="2"/>
      <c r="N175" s="9" t="str">
        <f t="shared" si="8"/>
        <v/>
      </c>
      <c r="O175" s="9" t="str">
        <f t="shared" si="9"/>
        <v/>
      </c>
      <c r="P175" s="9" t="str">
        <f>IF(A175="","",O175-(I175*INDEX('Trade Log'!$P$5:$P$204,MATCH(A175,'Trade Log'!$A$5:$A$204,0))*100)-IFERROR(INDEX('Trade Log'!$Q$5:$Q$204,MATCH(A175,'Trade Log'!$A$5:$A$204,0))*I175/INDEX('Trade Log'!$O$5:$O$204,MATCH(A175,'Trade Log'!$A$5:$A$204,0)),0))</f>
        <v/>
      </c>
      <c r="Q175" s="12" t="str">
        <f>IFERROR(P175/(I175*INDEX('Trade Log'!$P$5:$P$204,MATCH(A175,'Trade Log'!$A$5:$A$204,0))*100+IFERROR(INDEX('Trade Log'!$Q$5:$Q$204,MATCH(A175,'Trade Log'!$A$5:$A$204,0))*I175/INDEX('Trade Log'!$O$5:$O$204,MATCH(A175,'Trade Log'!$A$5:$A$204,0)),0)),"")</f>
        <v/>
      </c>
      <c r="R175" s="10"/>
    </row>
    <row r="176" spans="1:18">
      <c r="A176" s="2"/>
      <c r="B176" s="4" t="str">
        <f>IF(A176="","",COUNTIF($A$5:A176,A176))</f>
        <v/>
      </c>
      <c r="C176" s="3"/>
      <c r="D176" s="4" t="str">
        <f t="shared" si="7"/>
        <v/>
      </c>
      <c r="E176" s="5"/>
      <c r="F176" s="2"/>
      <c r="G176" s="4" t="str">
        <f>IFERROR(INDEX('Trade Log'!$F$5:$F$204,MATCH(A176,'Trade Log'!$A$5:$A$204,0)),"")</f>
        <v/>
      </c>
      <c r="H176" s="4" t="str">
        <f>IFERROR(INDEX('Trade Log'!$I$5:$I$204,MATCH(A176,'Trade Log'!$A$5:$A$204,0)),"")</f>
        <v/>
      </c>
      <c r="I176" s="7"/>
      <c r="J176" s="8"/>
      <c r="K176" s="8"/>
      <c r="L176" s="8"/>
      <c r="M176" s="2"/>
      <c r="N176" s="9" t="str">
        <f t="shared" si="8"/>
        <v/>
      </c>
      <c r="O176" s="9" t="str">
        <f t="shared" si="9"/>
        <v/>
      </c>
      <c r="P176" s="9" t="str">
        <f>IF(A176="","",O176-(I176*INDEX('Trade Log'!$P$5:$P$204,MATCH(A176,'Trade Log'!$A$5:$A$204,0))*100)-IFERROR(INDEX('Trade Log'!$Q$5:$Q$204,MATCH(A176,'Trade Log'!$A$5:$A$204,0))*I176/INDEX('Trade Log'!$O$5:$O$204,MATCH(A176,'Trade Log'!$A$5:$A$204,0)),0))</f>
        <v/>
      </c>
      <c r="Q176" s="12" t="str">
        <f>IFERROR(P176/(I176*INDEX('Trade Log'!$P$5:$P$204,MATCH(A176,'Trade Log'!$A$5:$A$204,0))*100+IFERROR(INDEX('Trade Log'!$Q$5:$Q$204,MATCH(A176,'Trade Log'!$A$5:$A$204,0))*I176/INDEX('Trade Log'!$O$5:$O$204,MATCH(A176,'Trade Log'!$A$5:$A$204,0)),0)),"")</f>
        <v/>
      </c>
      <c r="R176" s="10"/>
    </row>
    <row r="177" spans="1:18">
      <c r="A177" s="2"/>
      <c r="B177" s="4" t="str">
        <f>IF(A177="","",COUNTIF($A$5:A177,A177))</f>
        <v/>
      </c>
      <c r="C177" s="3"/>
      <c r="D177" s="4" t="str">
        <f t="shared" si="7"/>
        <v/>
      </c>
      <c r="E177" s="5"/>
      <c r="F177" s="2"/>
      <c r="G177" s="4" t="str">
        <f>IFERROR(INDEX('Trade Log'!$F$5:$F$204,MATCH(A177,'Trade Log'!$A$5:$A$204,0)),"")</f>
        <v/>
      </c>
      <c r="H177" s="4" t="str">
        <f>IFERROR(INDEX('Trade Log'!$I$5:$I$204,MATCH(A177,'Trade Log'!$A$5:$A$204,0)),"")</f>
        <v/>
      </c>
      <c r="I177" s="7"/>
      <c r="J177" s="8"/>
      <c r="K177" s="8"/>
      <c r="L177" s="8"/>
      <c r="M177" s="2"/>
      <c r="N177" s="9" t="str">
        <f t="shared" si="8"/>
        <v/>
      </c>
      <c r="O177" s="9" t="str">
        <f t="shared" si="9"/>
        <v/>
      </c>
      <c r="P177" s="9" t="str">
        <f>IF(A177="","",O177-(I177*INDEX('Trade Log'!$P$5:$P$204,MATCH(A177,'Trade Log'!$A$5:$A$204,0))*100)-IFERROR(INDEX('Trade Log'!$Q$5:$Q$204,MATCH(A177,'Trade Log'!$A$5:$A$204,0))*I177/INDEX('Trade Log'!$O$5:$O$204,MATCH(A177,'Trade Log'!$A$5:$A$204,0)),0))</f>
        <v/>
      </c>
      <c r="Q177" s="12" t="str">
        <f>IFERROR(P177/(I177*INDEX('Trade Log'!$P$5:$P$204,MATCH(A177,'Trade Log'!$A$5:$A$204,0))*100+IFERROR(INDEX('Trade Log'!$Q$5:$Q$204,MATCH(A177,'Trade Log'!$A$5:$A$204,0))*I177/INDEX('Trade Log'!$O$5:$O$204,MATCH(A177,'Trade Log'!$A$5:$A$204,0)),0)),"")</f>
        <v/>
      </c>
      <c r="R177" s="10"/>
    </row>
    <row r="178" spans="1:18">
      <c r="A178" s="2"/>
      <c r="B178" s="4" t="str">
        <f>IF(A178="","",COUNTIF($A$5:A178,A178))</f>
        <v/>
      </c>
      <c r="C178" s="3"/>
      <c r="D178" s="4" t="str">
        <f t="shared" si="7"/>
        <v/>
      </c>
      <c r="E178" s="5"/>
      <c r="F178" s="2"/>
      <c r="G178" s="4" t="str">
        <f>IFERROR(INDEX('Trade Log'!$F$5:$F$204,MATCH(A178,'Trade Log'!$A$5:$A$204,0)),"")</f>
        <v/>
      </c>
      <c r="H178" s="4" t="str">
        <f>IFERROR(INDEX('Trade Log'!$I$5:$I$204,MATCH(A178,'Trade Log'!$A$5:$A$204,0)),"")</f>
        <v/>
      </c>
      <c r="I178" s="7"/>
      <c r="J178" s="8"/>
      <c r="K178" s="8"/>
      <c r="L178" s="8"/>
      <c r="M178" s="2"/>
      <c r="N178" s="9" t="str">
        <f t="shared" si="8"/>
        <v/>
      </c>
      <c r="O178" s="9" t="str">
        <f t="shared" si="9"/>
        <v/>
      </c>
      <c r="P178" s="9" t="str">
        <f>IF(A178="","",O178-(I178*INDEX('Trade Log'!$P$5:$P$204,MATCH(A178,'Trade Log'!$A$5:$A$204,0))*100)-IFERROR(INDEX('Trade Log'!$Q$5:$Q$204,MATCH(A178,'Trade Log'!$A$5:$A$204,0))*I178/INDEX('Trade Log'!$O$5:$O$204,MATCH(A178,'Trade Log'!$A$5:$A$204,0)),0))</f>
        <v/>
      </c>
      <c r="Q178" s="12" t="str">
        <f>IFERROR(P178/(I178*INDEX('Trade Log'!$P$5:$P$204,MATCH(A178,'Trade Log'!$A$5:$A$204,0))*100+IFERROR(INDEX('Trade Log'!$Q$5:$Q$204,MATCH(A178,'Trade Log'!$A$5:$A$204,0))*I178/INDEX('Trade Log'!$O$5:$O$204,MATCH(A178,'Trade Log'!$A$5:$A$204,0)),0)),"")</f>
        <v/>
      </c>
      <c r="R178" s="10"/>
    </row>
    <row r="179" spans="1:18">
      <c r="A179" s="2"/>
      <c r="B179" s="4" t="str">
        <f>IF(A179="","",COUNTIF($A$5:A179,A179))</f>
        <v/>
      </c>
      <c r="C179" s="3"/>
      <c r="D179" s="4" t="str">
        <f t="shared" si="7"/>
        <v/>
      </c>
      <c r="E179" s="5"/>
      <c r="F179" s="2"/>
      <c r="G179" s="4" t="str">
        <f>IFERROR(INDEX('Trade Log'!$F$5:$F$204,MATCH(A179,'Trade Log'!$A$5:$A$204,0)),"")</f>
        <v/>
      </c>
      <c r="H179" s="4" t="str">
        <f>IFERROR(INDEX('Trade Log'!$I$5:$I$204,MATCH(A179,'Trade Log'!$A$5:$A$204,0)),"")</f>
        <v/>
      </c>
      <c r="I179" s="7"/>
      <c r="J179" s="8"/>
      <c r="K179" s="8"/>
      <c r="L179" s="8"/>
      <c r="M179" s="2"/>
      <c r="N179" s="9" t="str">
        <f t="shared" si="8"/>
        <v/>
      </c>
      <c r="O179" s="9" t="str">
        <f t="shared" si="9"/>
        <v/>
      </c>
      <c r="P179" s="9" t="str">
        <f>IF(A179="","",O179-(I179*INDEX('Trade Log'!$P$5:$P$204,MATCH(A179,'Trade Log'!$A$5:$A$204,0))*100)-IFERROR(INDEX('Trade Log'!$Q$5:$Q$204,MATCH(A179,'Trade Log'!$A$5:$A$204,0))*I179/INDEX('Trade Log'!$O$5:$O$204,MATCH(A179,'Trade Log'!$A$5:$A$204,0)),0))</f>
        <v/>
      </c>
      <c r="Q179" s="12" t="str">
        <f>IFERROR(P179/(I179*INDEX('Trade Log'!$P$5:$P$204,MATCH(A179,'Trade Log'!$A$5:$A$204,0))*100+IFERROR(INDEX('Trade Log'!$Q$5:$Q$204,MATCH(A179,'Trade Log'!$A$5:$A$204,0))*I179/INDEX('Trade Log'!$O$5:$O$204,MATCH(A179,'Trade Log'!$A$5:$A$204,0)),0)),"")</f>
        <v/>
      </c>
      <c r="R179" s="10"/>
    </row>
    <row r="180" spans="1:18">
      <c r="A180" s="2"/>
      <c r="B180" s="4" t="str">
        <f>IF(A180="","",COUNTIF($A$5:A180,A180))</f>
        <v/>
      </c>
      <c r="C180" s="3"/>
      <c r="D180" s="4" t="str">
        <f t="shared" si="7"/>
        <v/>
      </c>
      <c r="E180" s="5"/>
      <c r="F180" s="2"/>
      <c r="G180" s="4" t="str">
        <f>IFERROR(INDEX('Trade Log'!$F$5:$F$204,MATCH(A180,'Trade Log'!$A$5:$A$204,0)),"")</f>
        <v/>
      </c>
      <c r="H180" s="4" t="str">
        <f>IFERROR(INDEX('Trade Log'!$I$5:$I$204,MATCH(A180,'Trade Log'!$A$5:$A$204,0)),"")</f>
        <v/>
      </c>
      <c r="I180" s="7"/>
      <c r="J180" s="8"/>
      <c r="K180" s="8"/>
      <c r="L180" s="8"/>
      <c r="M180" s="2"/>
      <c r="N180" s="9" t="str">
        <f t="shared" si="8"/>
        <v/>
      </c>
      <c r="O180" s="9" t="str">
        <f t="shared" si="9"/>
        <v/>
      </c>
      <c r="P180" s="9" t="str">
        <f>IF(A180="","",O180-(I180*INDEX('Trade Log'!$P$5:$P$204,MATCH(A180,'Trade Log'!$A$5:$A$204,0))*100)-IFERROR(INDEX('Trade Log'!$Q$5:$Q$204,MATCH(A180,'Trade Log'!$A$5:$A$204,0))*I180/INDEX('Trade Log'!$O$5:$O$204,MATCH(A180,'Trade Log'!$A$5:$A$204,0)),0))</f>
        <v/>
      </c>
      <c r="Q180" s="12" t="str">
        <f>IFERROR(P180/(I180*INDEX('Trade Log'!$P$5:$P$204,MATCH(A180,'Trade Log'!$A$5:$A$204,0))*100+IFERROR(INDEX('Trade Log'!$Q$5:$Q$204,MATCH(A180,'Trade Log'!$A$5:$A$204,0))*I180/INDEX('Trade Log'!$O$5:$O$204,MATCH(A180,'Trade Log'!$A$5:$A$204,0)),0)),"")</f>
        <v/>
      </c>
      <c r="R180" s="10"/>
    </row>
    <row r="181" spans="1:18">
      <c r="A181" s="2"/>
      <c r="B181" s="4" t="str">
        <f>IF(A181="","",COUNTIF($A$5:A181,A181))</f>
        <v/>
      </c>
      <c r="C181" s="3"/>
      <c r="D181" s="4" t="str">
        <f t="shared" si="7"/>
        <v/>
      </c>
      <c r="E181" s="5"/>
      <c r="F181" s="2"/>
      <c r="G181" s="4" t="str">
        <f>IFERROR(INDEX('Trade Log'!$F$5:$F$204,MATCH(A181,'Trade Log'!$A$5:$A$204,0)),"")</f>
        <v/>
      </c>
      <c r="H181" s="4" t="str">
        <f>IFERROR(INDEX('Trade Log'!$I$5:$I$204,MATCH(A181,'Trade Log'!$A$5:$A$204,0)),"")</f>
        <v/>
      </c>
      <c r="I181" s="7"/>
      <c r="J181" s="8"/>
      <c r="K181" s="8"/>
      <c r="L181" s="8"/>
      <c r="M181" s="2"/>
      <c r="N181" s="9" t="str">
        <f t="shared" si="8"/>
        <v/>
      </c>
      <c r="O181" s="9" t="str">
        <f t="shared" si="9"/>
        <v/>
      </c>
      <c r="P181" s="9" t="str">
        <f>IF(A181="","",O181-(I181*INDEX('Trade Log'!$P$5:$P$204,MATCH(A181,'Trade Log'!$A$5:$A$204,0))*100)-IFERROR(INDEX('Trade Log'!$Q$5:$Q$204,MATCH(A181,'Trade Log'!$A$5:$A$204,0))*I181/INDEX('Trade Log'!$O$5:$O$204,MATCH(A181,'Trade Log'!$A$5:$A$204,0)),0))</f>
        <v/>
      </c>
      <c r="Q181" s="12" t="str">
        <f>IFERROR(P181/(I181*INDEX('Trade Log'!$P$5:$P$204,MATCH(A181,'Trade Log'!$A$5:$A$204,0))*100+IFERROR(INDEX('Trade Log'!$Q$5:$Q$204,MATCH(A181,'Trade Log'!$A$5:$A$204,0))*I181/INDEX('Trade Log'!$O$5:$O$204,MATCH(A181,'Trade Log'!$A$5:$A$204,0)),0)),"")</f>
        <v/>
      </c>
      <c r="R181" s="10"/>
    </row>
    <row r="182" spans="1:18">
      <c r="A182" s="2"/>
      <c r="B182" s="4" t="str">
        <f>IF(A182="","",COUNTIF($A$5:A182,A182))</f>
        <v/>
      </c>
      <c r="C182" s="3"/>
      <c r="D182" s="4" t="str">
        <f t="shared" si="7"/>
        <v/>
      </c>
      <c r="E182" s="5"/>
      <c r="F182" s="2"/>
      <c r="G182" s="4" t="str">
        <f>IFERROR(INDEX('Trade Log'!$F$5:$F$204,MATCH(A182,'Trade Log'!$A$5:$A$204,0)),"")</f>
        <v/>
      </c>
      <c r="H182" s="4" t="str">
        <f>IFERROR(INDEX('Trade Log'!$I$5:$I$204,MATCH(A182,'Trade Log'!$A$5:$A$204,0)),"")</f>
        <v/>
      </c>
      <c r="I182" s="7"/>
      <c r="J182" s="8"/>
      <c r="K182" s="8"/>
      <c r="L182" s="8"/>
      <c r="M182" s="2"/>
      <c r="N182" s="9" t="str">
        <f t="shared" si="8"/>
        <v/>
      </c>
      <c r="O182" s="9" t="str">
        <f t="shared" si="9"/>
        <v/>
      </c>
      <c r="P182" s="9" t="str">
        <f>IF(A182="","",O182-(I182*INDEX('Trade Log'!$P$5:$P$204,MATCH(A182,'Trade Log'!$A$5:$A$204,0))*100)-IFERROR(INDEX('Trade Log'!$Q$5:$Q$204,MATCH(A182,'Trade Log'!$A$5:$A$204,0))*I182/INDEX('Trade Log'!$O$5:$O$204,MATCH(A182,'Trade Log'!$A$5:$A$204,0)),0))</f>
        <v/>
      </c>
      <c r="Q182" s="12" t="str">
        <f>IFERROR(P182/(I182*INDEX('Trade Log'!$P$5:$P$204,MATCH(A182,'Trade Log'!$A$5:$A$204,0))*100+IFERROR(INDEX('Trade Log'!$Q$5:$Q$204,MATCH(A182,'Trade Log'!$A$5:$A$204,0))*I182/INDEX('Trade Log'!$O$5:$O$204,MATCH(A182,'Trade Log'!$A$5:$A$204,0)),0)),"")</f>
        <v/>
      </c>
      <c r="R182" s="10"/>
    </row>
    <row r="183" spans="1:18">
      <c r="A183" s="2"/>
      <c r="B183" s="4" t="str">
        <f>IF(A183="","",COUNTIF($A$5:A183,A183))</f>
        <v/>
      </c>
      <c r="C183" s="3"/>
      <c r="D183" s="4" t="str">
        <f t="shared" si="7"/>
        <v/>
      </c>
      <c r="E183" s="5"/>
      <c r="F183" s="2"/>
      <c r="G183" s="4" t="str">
        <f>IFERROR(INDEX('Trade Log'!$F$5:$F$204,MATCH(A183,'Trade Log'!$A$5:$A$204,0)),"")</f>
        <v/>
      </c>
      <c r="H183" s="4" t="str">
        <f>IFERROR(INDEX('Trade Log'!$I$5:$I$204,MATCH(A183,'Trade Log'!$A$5:$A$204,0)),"")</f>
        <v/>
      </c>
      <c r="I183" s="7"/>
      <c r="J183" s="8"/>
      <c r="K183" s="8"/>
      <c r="L183" s="8"/>
      <c r="M183" s="2"/>
      <c r="N183" s="9" t="str">
        <f t="shared" si="8"/>
        <v/>
      </c>
      <c r="O183" s="9" t="str">
        <f t="shared" si="9"/>
        <v/>
      </c>
      <c r="P183" s="9" t="str">
        <f>IF(A183="","",O183-(I183*INDEX('Trade Log'!$P$5:$P$204,MATCH(A183,'Trade Log'!$A$5:$A$204,0))*100)-IFERROR(INDEX('Trade Log'!$Q$5:$Q$204,MATCH(A183,'Trade Log'!$A$5:$A$204,0))*I183/INDEX('Trade Log'!$O$5:$O$204,MATCH(A183,'Trade Log'!$A$5:$A$204,0)),0))</f>
        <v/>
      </c>
      <c r="Q183" s="12" t="str">
        <f>IFERROR(P183/(I183*INDEX('Trade Log'!$P$5:$P$204,MATCH(A183,'Trade Log'!$A$5:$A$204,0))*100+IFERROR(INDEX('Trade Log'!$Q$5:$Q$204,MATCH(A183,'Trade Log'!$A$5:$A$204,0))*I183/INDEX('Trade Log'!$O$5:$O$204,MATCH(A183,'Trade Log'!$A$5:$A$204,0)),0)),"")</f>
        <v/>
      </c>
      <c r="R183" s="10"/>
    </row>
    <row r="184" spans="1:18">
      <c r="A184" s="2"/>
      <c r="B184" s="4" t="str">
        <f>IF(A184="","",COUNTIF($A$5:A184,A184))</f>
        <v/>
      </c>
      <c r="C184" s="3"/>
      <c r="D184" s="4" t="str">
        <f t="shared" si="7"/>
        <v/>
      </c>
      <c r="E184" s="5"/>
      <c r="F184" s="2"/>
      <c r="G184" s="4" t="str">
        <f>IFERROR(INDEX('Trade Log'!$F$5:$F$204,MATCH(A184,'Trade Log'!$A$5:$A$204,0)),"")</f>
        <v/>
      </c>
      <c r="H184" s="4" t="str">
        <f>IFERROR(INDEX('Trade Log'!$I$5:$I$204,MATCH(A184,'Trade Log'!$A$5:$A$204,0)),"")</f>
        <v/>
      </c>
      <c r="I184" s="7"/>
      <c r="J184" s="8"/>
      <c r="K184" s="8"/>
      <c r="L184" s="8"/>
      <c r="M184" s="2"/>
      <c r="N184" s="9" t="str">
        <f t="shared" si="8"/>
        <v/>
      </c>
      <c r="O184" s="9" t="str">
        <f t="shared" si="9"/>
        <v/>
      </c>
      <c r="P184" s="9" t="str">
        <f>IF(A184="","",O184-(I184*INDEX('Trade Log'!$P$5:$P$204,MATCH(A184,'Trade Log'!$A$5:$A$204,0))*100)-IFERROR(INDEX('Trade Log'!$Q$5:$Q$204,MATCH(A184,'Trade Log'!$A$5:$A$204,0))*I184/INDEX('Trade Log'!$O$5:$O$204,MATCH(A184,'Trade Log'!$A$5:$A$204,0)),0))</f>
        <v/>
      </c>
      <c r="Q184" s="12" t="str">
        <f>IFERROR(P184/(I184*INDEX('Trade Log'!$P$5:$P$204,MATCH(A184,'Trade Log'!$A$5:$A$204,0))*100+IFERROR(INDEX('Trade Log'!$Q$5:$Q$204,MATCH(A184,'Trade Log'!$A$5:$A$204,0))*I184/INDEX('Trade Log'!$O$5:$O$204,MATCH(A184,'Trade Log'!$A$5:$A$204,0)),0)),"")</f>
        <v/>
      </c>
      <c r="R184" s="10"/>
    </row>
    <row r="185" spans="1:18">
      <c r="A185" s="2"/>
      <c r="B185" s="4" t="str">
        <f>IF(A185="","",COUNTIF($A$5:A185,A185))</f>
        <v/>
      </c>
      <c r="C185" s="3"/>
      <c r="D185" s="4" t="str">
        <f t="shared" si="7"/>
        <v/>
      </c>
      <c r="E185" s="5"/>
      <c r="F185" s="2"/>
      <c r="G185" s="4" t="str">
        <f>IFERROR(INDEX('Trade Log'!$F$5:$F$204,MATCH(A185,'Trade Log'!$A$5:$A$204,0)),"")</f>
        <v/>
      </c>
      <c r="H185" s="4" t="str">
        <f>IFERROR(INDEX('Trade Log'!$I$5:$I$204,MATCH(A185,'Trade Log'!$A$5:$A$204,0)),"")</f>
        <v/>
      </c>
      <c r="I185" s="7"/>
      <c r="J185" s="8"/>
      <c r="K185" s="8"/>
      <c r="L185" s="8"/>
      <c r="M185" s="2"/>
      <c r="N185" s="9" t="str">
        <f t="shared" si="8"/>
        <v/>
      </c>
      <c r="O185" s="9" t="str">
        <f t="shared" si="9"/>
        <v/>
      </c>
      <c r="P185" s="9" t="str">
        <f>IF(A185="","",O185-(I185*INDEX('Trade Log'!$P$5:$P$204,MATCH(A185,'Trade Log'!$A$5:$A$204,0))*100)-IFERROR(INDEX('Trade Log'!$Q$5:$Q$204,MATCH(A185,'Trade Log'!$A$5:$A$204,0))*I185/INDEX('Trade Log'!$O$5:$O$204,MATCH(A185,'Trade Log'!$A$5:$A$204,0)),0))</f>
        <v/>
      </c>
      <c r="Q185" s="12" t="str">
        <f>IFERROR(P185/(I185*INDEX('Trade Log'!$P$5:$P$204,MATCH(A185,'Trade Log'!$A$5:$A$204,0))*100+IFERROR(INDEX('Trade Log'!$Q$5:$Q$204,MATCH(A185,'Trade Log'!$A$5:$A$204,0))*I185/INDEX('Trade Log'!$O$5:$O$204,MATCH(A185,'Trade Log'!$A$5:$A$204,0)),0)),"")</f>
        <v/>
      </c>
      <c r="R185" s="10"/>
    </row>
    <row r="186" spans="1:18">
      <c r="A186" s="2"/>
      <c r="B186" s="4" t="str">
        <f>IF(A186="","",COUNTIF($A$5:A186,A186))</f>
        <v/>
      </c>
      <c r="C186" s="3"/>
      <c r="D186" s="4" t="str">
        <f t="shared" si="7"/>
        <v/>
      </c>
      <c r="E186" s="5"/>
      <c r="F186" s="2"/>
      <c r="G186" s="4" t="str">
        <f>IFERROR(INDEX('Trade Log'!$F$5:$F$204,MATCH(A186,'Trade Log'!$A$5:$A$204,0)),"")</f>
        <v/>
      </c>
      <c r="H186" s="4" t="str">
        <f>IFERROR(INDEX('Trade Log'!$I$5:$I$204,MATCH(A186,'Trade Log'!$A$5:$A$204,0)),"")</f>
        <v/>
      </c>
      <c r="I186" s="7"/>
      <c r="J186" s="8"/>
      <c r="K186" s="8"/>
      <c r="L186" s="8"/>
      <c r="M186" s="2"/>
      <c r="N186" s="9" t="str">
        <f t="shared" si="8"/>
        <v/>
      </c>
      <c r="O186" s="9" t="str">
        <f t="shared" si="9"/>
        <v/>
      </c>
      <c r="P186" s="9" t="str">
        <f>IF(A186="","",O186-(I186*INDEX('Trade Log'!$P$5:$P$204,MATCH(A186,'Trade Log'!$A$5:$A$204,0))*100)-IFERROR(INDEX('Trade Log'!$Q$5:$Q$204,MATCH(A186,'Trade Log'!$A$5:$A$204,0))*I186/INDEX('Trade Log'!$O$5:$O$204,MATCH(A186,'Trade Log'!$A$5:$A$204,0)),0))</f>
        <v/>
      </c>
      <c r="Q186" s="12" t="str">
        <f>IFERROR(P186/(I186*INDEX('Trade Log'!$P$5:$P$204,MATCH(A186,'Trade Log'!$A$5:$A$204,0))*100+IFERROR(INDEX('Trade Log'!$Q$5:$Q$204,MATCH(A186,'Trade Log'!$A$5:$A$204,0))*I186/INDEX('Trade Log'!$O$5:$O$204,MATCH(A186,'Trade Log'!$A$5:$A$204,0)),0)),"")</f>
        <v/>
      </c>
      <c r="R186" s="10"/>
    </row>
    <row r="187" spans="1:18">
      <c r="A187" s="2"/>
      <c r="B187" s="4" t="str">
        <f>IF(A187="","",COUNTIF($A$5:A187,A187))</f>
        <v/>
      </c>
      <c r="C187" s="3"/>
      <c r="D187" s="4" t="str">
        <f t="shared" si="7"/>
        <v/>
      </c>
      <c r="E187" s="5"/>
      <c r="F187" s="2"/>
      <c r="G187" s="4" t="str">
        <f>IFERROR(INDEX('Trade Log'!$F$5:$F$204,MATCH(A187,'Trade Log'!$A$5:$A$204,0)),"")</f>
        <v/>
      </c>
      <c r="H187" s="4" t="str">
        <f>IFERROR(INDEX('Trade Log'!$I$5:$I$204,MATCH(A187,'Trade Log'!$A$5:$A$204,0)),"")</f>
        <v/>
      </c>
      <c r="I187" s="7"/>
      <c r="J187" s="8"/>
      <c r="K187" s="8"/>
      <c r="L187" s="8"/>
      <c r="M187" s="2"/>
      <c r="N187" s="9" t="str">
        <f t="shared" si="8"/>
        <v/>
      </c>
      <c r="O187" s="9" t="str">
        <f t="shared" si="9"/>
        <v/>
      </c>
      <c r="P187" s="9" t="str">
        <f>IF(A187="","",O187-(I187*INDEX('Trade Log'!$P$5:$P$204,MATCH(A187,'Trade Log'!$A$5:$A$204,0))*100)-IFERROR(INDEX('Trade Log'!$Q$5:$Q$204,MATCH(A187,'Trade Log'!$A$5:$A$204,0))*I187/INDEX('Trade Log'!$O$5:$O$204,MATCH(A187,'Trade Log'!$A$5:$A$204,0)),0))</f>
        <v/>
      </c>
      <c r="Q187" s="12" t="str">
        <f>IFERROR(P187/(I187*INDEX('Trade Log'!$P$5:$P$204,MATCH(A187,'Trade Log'!$A$5:$A$204,0))*100+IFERROR(INDEX('Trade Log'!$Q$5:$Q$204,MATCH(A187,'Trade Log'!$A$5:$A$204,0))*I187/INDEX('Trade Log'!$O$5:$O$204,MATCH(A187,'Trade Log'!$A$5:$A$204,0)),0)),"")</f>
        <v/>
      </c>
      <c r="R187" s="10"/>
    </row>
    <row r="188" spans="1:18">
      <c r="A188" s="2"/>
      <c r="B188" s="4" t="str">
        <f>IF(A188="","",COUNTIF($A$5:A188,A188))</f>
        <v/>
      </c>
      <c r="C188" s="3"/>
      <c r="D188" s="4" t="str">
        <f t="shared" si="7"/>
        <v/>
      </c>
      <c r="E188" s="5"/>
      <c r="F188" s="2"/>
      <c r="G188" s="4" t="str">
        <f>IFERROR(INDEX('Trade Log'!$F$5:$F$204,MATCH(A188,'Trade Log'!$A$5:$A$204,0)),"")</f>
        <v/>
      </c>
      <c r="H188" s="4" t="str">
        <f>IFERROR(INDEX('Trade Log'!$I$5:$I$204,MATCH(A188,'Trade Log'!$A$5:$A$204,0)),"")</f>
        <v/>
      </c>
      <c r="I188" s="7"/>
      <c r="J188" s="8"/>
      <c r="K188" s="8"/>
      <c r="L188" s="8"/>
      <c r="M188" s="2"/>
      <c r="N188" s="9" t="str">
        <f t="shared" si="8"/>
        <v/>
      </c>
      <c r="O188" s="9" t="str">
        <f t="shared" si="9"/>
        <v/>
      </c>
      <c r="P188" s="9" t="str">
        <f>IF(A188="","",O188-(I188*INDEX('Trade Log'!$P$5:$P$204,MATCH(A188,'Trade Log'!$A$5:$A$204,0))*100)-IFERROR(INDEX('Trade Log'!$Q$5:$Q$204,MATCH(A188,'Trade Log'!$A$5:$A$204,0))*I188/INDEX('Trade Log'!$O$5:$O$204,MATCH(A188,'Trade Log'!$A$5:$A$204,0)),0))</f>
        <v/>
      </c>
      <c r="Q188" s="12" t="str">
        <f>IFERROR(P188/(I188*INDEX('Trade Log'!$P$5:$P$204,MATCH(A188,'Trade Log'!$A$5:$A$204,0))*100+IFERROR(INDEX('Trade Log'!$Q$5:$Q$204,MATCH(A188,'Trade Log'!$A$5:$A$204,0))*I188/INDEX('Trade Log'!$O$5:$O$204,MATCH(A188,'Trade Log'!$A$5:$A$204,0)),0)),"")</f>
        <v/>
      </c>
      <c r="R188" s="10"/>
    </row>
    <row r="189" spans="1:18">
      <c r="A189" s="2"/>
      <c r="B189" s="4" t="str">
        <f>IF(A189="","",COUNTIF($A$5:A189,A189))</f>
        <v/>
      </c>
      <c r="C189" s="3"/>
      <c r="D189" s="4" t="str">
        <f t="shared" si="7"/>
        <v/>
      </c>
      <c r="E189" s="5"/>
      <c r="F189" s="2"/>
      <c r="G189" s="4" t="str">
        <f>IFERROR(INDEX('Trade Log'!$F$5:$F$204,MATCH(A189,'Trade Log'!$A$5:$A$204,0)),"")</f>
        <v/>
      </c>
      <c r="H189" s="4" t="str">
        <f>IFERROR(INDEX('Trade Log'!$I$5:$I$204,MATCH(A189,'Trade Log'!$A$5:$A$204,0)),"")</f>
        <v/>
      </c>
      <c r="I189" s="7"/>
      <c r="J189" s="8"/>
      <c r="K189" s="8"/>
      <c r="L189" s="8"/>
      <c r="M189" s="2"/>
      <c r="N189" s="9" t="str">
        <f t="shared" si="8"/>
        <v/>
      </c>
      <c r="O189" s="9" t="str">
        <f t="shared" si="9"/>
        <v/>
      </c>
      <c r="P189" s="9" t="str">
        <f>IF(A189="","",O189-(I189*INDEX('Trade Log'!$P$5:$P$204,MATCH(A189,'Trade Log'!$A$5:$A$204,0))*100)-IFERROR(INDEX('Trade Log'!$Q$5:$Q$204,MATCH(A189,'Trade Log'!$A$5:$A$204,0))*I189/INDEX('Trade Log'!$O$5:$O$204,MATCH(A189,'Trade Log'!$A$5:$A$204,0)),0))</f>
        <v/>
      </c>
      <c r="Q189" s="12" t="str">
        <f>IFERROR(P189/(I189*INDEX('Trade Log'!$P$5:$P$204,MATCH(A189,'Trade Log'!$A$5:$A$204,0))*100+IFERROR(INDEX('Trade Log'!$Q$5:$Q$204,MATCH(A189,'Trade Log'!$A$5:$A$204,0))*I189/INDEX('Trade Log'!$O$5:$O$204,MATCH(A189,'Trade Log'!$A$5:$A$204,0)),0)),"")</f>
        <v/>
      </c>
      <c r="R189" s="10"/>
    </row>
    <row r="190" spans="1:18">
      <c r="A190" s="2"/>
      <c r="B190" s="4" t="str">
        <f>IF(A190="","",COUNTIF($A$5:A190,A190))</f>
        <v/>
      </c>
      <c r="C190" s="3"/>
      <c r="D190" s="4" t="str">
        <f t="shared" si="7"/>
        <v/>
      </c>
      <c r="E190" s="5"/>
      <c r="F190" s="2"/>
      <c r="G190" s="4" t="str">
        <f>IFERROR(INDEX('Trade Log'!$F$5:$F$204,MATCH(A190,'Trade Log'!$A$5:$A$204,0)),"")</f>
        <v/>
      </c>
      <c r="H190" s="4" t="str">
        <f>IFERROR(INDEX('Trade Log'!$I$5:$I$204,MATCH(A190,'Trade Log'!$A$5:$A$204,0)),"")</f>
        <v/>
      </c>
      <c r="I190" s="7"/>
      <c r="J190" s="8"/>
      <c r="K190" s="8"/>
      <c r="L190" s="8"/>
      <c r="M190" s="2"/>
      <c r="N190" s="9" t="str">
        <f t="shared" si="8"/>
        <v/>
      </c>
      <c r="O190" s="9" t="str">
        <f t="shared" si="9"/>
        <v/>
      </c>
      <c r="P190" s="9" t="str">
        <f>IF(A190="","",O190-(I190*INDEX('Trade Log'!$P$5:$P$204,MATCH(A190,'Trade Log'!$A$5:$A$204,0))*100)-IFERROR(INDEX('Trade Log'!$Q$5:$Q$204,MATCH(A190,'Trade Log'!$A$5:$A$204,0))*I190/INDEX('Trade Log'!$O$5:$O$204,MATCH(A190,'Trade Log'!$A$5:$A$204,0)),0))</f>
        <v/>
      </c>
      <c r="Q190" s="12" t="str">
        <f>IFERROR(P190/(I190*INDEX('Trade Log'!$P$5:$P$204,MATCH(A190,'Trade Log'!$A$5:$A$204,0))*100+IFERROR(INDEX('Trade Log'!$Q$5:$Q$204,MATCH(A190,'Trade Log'!$A$5:$A$204,0))*I190/INDEX('Trade Log'!$O$5:$O$204,MATCH(A190,'Trade Log'!$A$5:$A$204,0)),0)),"")</f>
        <v/>
      </c>
      <c r="R190" s="10"/>
    </row>
    <row r="191" spans="1:18">
      <c r="A191" s="2"/>
      <c r="B191" s="4" t="str">
        <f>IF(A191="","",COUNTIF($A$5:A191,A191))</f>
        <v/>
      </c>
      <c r="C191" s="3"/>
      <c r="D191" s="4" t="str">
        <f t="shared" si="7"/>
        <v/>
      </c>
      <c r="E191" s="5"/>
      <c r="F191" s="2"/>
      <c r="G191" s="4" t="str">
        <f>IFERROR(INDEX('Trade Log'!$F$5:$F$204,MATCH(A191,'Trade Log'!$A$5:$A$204,0)),"")</f>
        <v/>
      </c>
      <c r="H191" s="4" t="str">
        <f>IFERROR(INDEX('Trade Log'!$I$5:$I$204,MATCH(A191,'Trade Log'!$A$5:$A$204,0)),"")</f>
        <v/>
      </c>
      <c r="I191" s="7"/>
      <c r="J191" s="8"/>
      <c r="K191" s="8"/>
      <c r="L191" s="8"/>
      <c r="M191" s="2"/>
      <c r="N191" s="9" t="str">
        <f t="shared" si="8"/>
        <v/>
      </c>
      <c r="O191" s="9" t="str">
        <f t="shared" si="9"/>
        <v/>
      </c>
      <c r="P191" s="9" t="str">
        <f>IF(A191="","",O191-(I191*INDEX('Trade Log'!$P$5:$P$204,MATCH(A191,'Trade Log'!$A$5:$A$204,0))*100)-IFERROR(INDEX('Trade Log'!$Q$5:$Q$204,MATCH(A191,'Trade Log'!$A$5:$A$204,0))*I191/INDEX('Trade Log'!$O$5:$O$204,MATCH(A191,'Trade Log'!$A$5:$A$204,0)),0))</f>
        <v/>
      </c>
      <c r="Q191" s="12" t="str">
        <f>IFERROR(P191/(I191*INDEX('Trade Log'!$P$5:$P$204,MATCH(A191,'Trade Log'!$A$5:$A$204,0))*100+IFERROR(INDEX('Trade Log'!$Q$5:$Q$204,MATCH(A191,'Trade Log'!$A$5:$A$204,0))*I191/INDEX('Trade Log'!$O$5:$O$204,MATCH(A191,'Trade Log'!$A$5:$A$204,0)),0)),"")</f>
        <v/>
      </c>
      <c r="R191" s="10"/>
    </row>
    <row r="192" spans="1:18">
      <c r="A192" s="2"/>
      <c r="B192" s="4" t="str">
        <f>IF(A192="","",COUNTIF($A$5:A192,A192))</f>
        <v/>
      </c>
      <c r="C192" s="3"/>
      <c r="D192" s="4" t="str">
        <f t="shared" si="7"/>
        <v/>
      </c>
      <c r="E192" s="5"/>
      <c r="F192" s="2"/>
      <c r="G192" s="4" t="str">
        <f>IFERROR(INDEX('Trade Log'!$F$5:$F$204,MATCH(A192,'Trade Log'!$A$5:$A$204,0)),"")</f>
        <v/>
      </c>
      <c r="H192" s="4" t="str">
        <f>IFERROR(INDEX('Trade Log'!$I$5:$I$204,MATCH(A192,'Trade Log'!$A$5:$A$204,0)),"")</f>
        <v/>
      </c>
      <c r="I192" s="7"/>
      <c r="J192" s="8"/>
      <c r="K192" s="8"/>
      <c r="L192" s="8"/>
      <c r="M192" s="2"/>
      <c r="N192" s="9" t="str">
        <f t="shared" si="8"/>
        <v/>
      </c>
      <c r="O192" s="9" t="str">
        <f t="shared" si="9"/>
        <v/>
      </c>
      <c r="P192" s="9" t="str">
        <f>IF(A192="","",O192-(I192*INDEX('Trade Log'!$P$5:$P$204,MATCH(A192,'Trade Log'!$A$5:$A$204,0))*100)-IFERROR(INDEX('Trade Log'!$Q$5:$Q$204,MATCH(A192,'Trade Log'!$A$5:$A$204,0))*I192/INDEX('Trade Log'!$O$5:$O$204,MATCH(A192,'Trade Log'!$A$5:$A$204,0)),0))</f>
        <v/>
      </c>
      <c r="Q192" s="12" t="str">
        <f>IFERROR(P192/(I192*INDEX('Trade Log'!$P$5:$P$204,MATCH(A192,'Trade Log'!$A$5:$A$204,0))*100+IFERROR(INDEX('Trade Log'!$Q$5:$Q$204,MATCH(A192,'Trade Log'!$A$5:$A$204,0))*I192/INDEX('Trade Log'!$O$5:$O$204,MATCH(A192,'Trade Log'!$A$5:$A$204,0)),0)),"")</f>
        <v/>
      </c>
      <c r="R192" s="10"/>
    </row>
    <row r="193" spans="1:18">
      <c r="A193" s="2"/>
      <c r="B193" s="4" t="str">
        <f>IF(A193="","",COUNTIF($A$5:A193,A193))</f>
        <v/>
      </c>
      <c r="C193" s="3"/>
      <c r="D193" s="4" t="str">
        <f t="shared" si="7"/>
        <v/>
      </c>
      <c r="E193" s="5"/>
      <c r="F193" s="2"/>
      <c r="G193" s="4" t="str">
        <f>IFERROR(INDEX('Trade Log'!$F$5:$F$204,MATCH(A193,'Trade Log'!$A$5:$A$204,0)),"")</f>
        <v/>
      </c>
      <c r="H193" s="4" t="str">
        <f>IFERROR(INDEX('Trade Log'!$I$5:$I$204,MATCH(A193,'Trade Log'!$A$5:$A$204,0)),"")</f>
        <v/>
      </c>
      <c r="I193" s="7"/>
      <c r="J193" s="8"/>
      <c r="K193" s="8"/>
      <c r="L193" s="8"/>
      <c r="M193" s="2"/>
      <c r="N193" s="9" t="str">
        <f t="shared" si="8"/>
        <v/>
      </c>
      <c r="O193" s="9" t="str">
        <f t="shared" si="9"/>
        <v/>
      </c>
      <c r="P193" s="9" t="str">
        <f>IF(A193="","",O193-(I193*INDEX('Trade Log'!$P$5:$P$204,MATCH(A193,'Trade Log'!$A$5:$A$204,0))*100)-IFERROR(INDEX('Trade Log'!$Q$5:$Q$204,MATCH(A193,'Trade Log'!$A$5:$A$204,0))*I193/INDEX('Trade Log'!$O$5:$O$204,MATCH(A193,'Trade Log'!$A$5:$A$204,0)),0))</f>
        <v/>
      </c>
      <c r="Q193" s="12" t="str">
        <f>IFERROR(P193/(I193*INDEX('Trade Log'!$P$5:$P$204,MATCH(A193,'Trade Log'!$A$5:$A$204,0))*100+IFERROR(INDEX('Trade Log'!$Q$5:$Q$204,MATCH(A193,'Trade Log'!$A$5:$A$204,0))*I193/INDEX('Trade Log'!$O$5:$O$204,MATCH(A193,'Trade Log'!$A$5:$A$204,0)),0)),"")</f>
        <v/>
      </c>
      <c r="R193" s="10"/>
    </row>
    <row r="194" spans="1:18">
      <c r="A194" s="2"/>
      <c r="B194" s="4" t="str">
        <f>IF(A194="","",COUNTIF($A$5:A194,A194))</f>
        <v/>
      </c>
      <c r="C194" s="3"/>
      <c r="D194" s="4" t="str">
        <f t="shared" si="7"/>
        <v/>
      </c>
      <c r="E194" s="5"/>
      <c r="F194" s="2"/>
      <c r="G194" s="4" t="str">
        <f>IFERROR(INDEX('Trade Log'!$F$5:$F$204,MATCH(A194,'Trade Log'!$A$5:$A$204,0)),"")</f>
        <v/>
      </c>
      <c r="H194" s="4" t="str">
        <f>IFERROR(INDEX('Trade Log'!$I$5:$I$204,MATCH(A194,'Trade Log'!$A$5:$A$204,0)),"")</f>
        <v/>
      </c>
      <c r="I194" s="7"/>
      <c r="J194" s="8"/>
      <c r="K194" s="8"/>
      <c r="L194" s="8"/>
      <c r="M194" s="2"/>
      <c r="N194" s="9" t="str">
        <f t="shared" si="8"/>
        <v/>
      </c>
      <c r="O194" s="9" t="str">
        <f t="shared" si="9"/>
        <v/>
      </c>
      <c r="P194" s="9" t="str">
        <f>IF(A194="","",O194-(I194*INDEX('Trade Log'!$P$5:$P$204,MATCH(A194,'Trade Log'!$A$5:$A$204,0))*100)-IFERROR(INDEX('Trade Log'!$Q$5:$Q$204,MATCH(A194,'Trade Log'!$A$5:$A$204,0))*I194/INDEX('Trade Log'!$O$5:$O$204,MATCH(A194,'Trade Log'!$A$5:$A$204,0)),0))</f>
        <v/>
      </c>
      <c r="Q194" s="12" t="str">
        <f>IFERROR(P194/(I194*INDEX('Trade Log'!$P$5:$P$204,MATCH(A194,'Trade Log'!$A$5:$A$204,0))*100+IFERROR(INDEX('Trade Log'!$Q$5:$Q$204,MATCH(A194,'Trade Log'!$A$5:$A$204,0))*I194/INDEX('Trade Log'!$O$5:$O$204,MATCH(A194,'Trade Log'!$A$5:$A$204,0)),0)),"")</f>
        <v/>
      </c>
      <c r="R194" s="10"/>
    </row>
    <row r="195" spans="1:18">
      <c r="A195" s="2"/>
      <c r="B195" s="4" t="str">
        <f>IF(A195="","",COUNTIF($A$5:A195,A195))</f>
        <v/>
      </c>
      <c r="C195" s="3"/>
      <c r="D195" s="4" t="str">
        <f t="shared" si="7"/>
        <v/>
      </c>
      <c r="E195" s="5"/>
      <c r="F195" s="2"/>
      <c r="G195" s="4" t="str">
        <f>IFERROR(INDEX('Trade Log'!$F$5:$F$204,MATCH(A195,'Trade Log'!$A$5:$A$204,0)),"")</f>
        <v/>
      </c>
      <c r="H195" s="4" t="str">
        <f>IFERROR(INDEX('Trade Log'!$I$5:$I$204,MATCH(A195,'Trade Log'!$A$5:$A$204,0)),"")</f>
        <v/>
      </c>
      <c r="I195" s="7"/>
      <c r="J195" s="8"/>
      <c r="K195" s="8"/>
      <c r="L195" s="8"/>
      <c r="M195" s="2"/>
      <c r="N195" s="9" t="str">
        <f t="shared" si="8"/>
        <v/>
      </c>
      <c r="O195" s="9" t="str">
        <f t="shared" si="9"/>
        <v/>
      </c>
      <c r="P195" s="9" t="str">
        <f>IF(A195="","",O195-(I195*INDEX('Trade Log'!$P$5:$P$204,MATCH(A195,'Trade Log'!$A$5:$A$204,0))*100)-IFERROR(INDEX('Trade Log'!$Q$5:$Q$204,MATCH(A195,'Trade Log'!$A$5:$A$204,0))*I195/INDEX('Trade Log'!$O$5:$O$204,MATCH(A195,'Trade Log'!$A$5:$A$204,0)),0))</f>
        <v/>
      </c>
      <c r="Q195" s="12" t="str">
        <f>IFERROR(P195/(I195*INDEX('Trade Log'!$P$5:$P$204,MATCH(A195,'Trade Log'!$A$5:$A$204,0))*100+IFERROR(INDEX('Trade Log'!$Q$5:$Q$204,MATCH(A195,'Trade Log'!$A$5:$A$204,0))*I195/INDEX('Trade Log'!$O$5:$O$204,MATCH(A195,'Trade Log'!$A$5:$A$204,0)),0)),"")</f>
        <v/>
      </c>
      <c r="R195" s="10"/>
    </row>
    <row r="196" spans="1:18">
      <c r="A196" s="2"/>
      <c r="B196" s="4" t="str">
        <f>IF(A196="","",COUNTIF($A$5:A196,A196))</f>
        <v/>
      </c>
      <c r="C196" s="3"/>
      <c r="D196" s="4" t="str">
        <f t="shared" si="7"/>
        <v/>
      </c>
      <c r="E196" s="5"/>
      <c r="F196" s="2"/>
      <c r="G196" s="4" t="str">
        <f>IFERROR(INDEX('Trade Log'!$F$5:$F$204,MATCH(A196,'Trade Log'!$A$5:$A$204,0)),"")</f>
        <v/>
      </c>
      <c r="H196" s="4" t="str">
        <f>IFERROR(INDEX('Trade Log'!$I$5:$I$204,MATCH(A196,'Trade Log'!$A$5:$A$204,0)),"")</f>
        <v/>
      </c>
      <c r="I196" s="7"/>
      <c r="J196" s="8"/>
      <c r="K196" s="8"/>
      <c r="L196" s="8"/>
      <c r="M196" s="2"/>
      <c r="N196" s="9" t="str">
        <f t="shared" si="8"/>
        <v/>
      </c>
      <c r="O196" s="9" t="str">
        <f t="shared" si="9"/>
        <v/>
      </c>
      <c r="P196" s="9" t="str">
        <f>IF(A196="","",O196-(I196*INDEX('Trade Log'!$P$5:$P$204,MATCH(A196,'Trade Log'!$A$5:$A$204,0))*100)-IFERROR(INDEX('Trade Log'!$Q$5:$Q$204,MATCH(A196,'Trade Log'!$A$5:$A$204,0))*I196/INDEX('Trade Log'!$O$5:$O$204,MATCH(A196,'Trade Log'!$A$5:$A$204,0)),0))</f>
        <v/>
      </c>
      <c r="Q196" s="12" t="str">
        <f>IFERROR(P196/(I196*INDEX('Trade Log'!$P$5:$P$204,MATCH(A196,'Trade Log'!$A$5:$A$204,0))*100+IFERROR(INDEX('Trade Log'!$Q$5:$Q$204,MATCH(A196,'Trade Log'!$A$5:$A$204,0))*I196/INDEX('Trade Log'!$O$5:$O$204,MATCH(A196,'Trade Log'!$A$5:$A$204,0)),0)),"")</f>
        <v/>
      </c>
      <c r="R196" s="10"/>
    </row>
    <row r="197" spans="1:18">
      <c r="A197" s="2"/>
      <c r="B197" s="4" t="str">
        <f>IF(A197="","",COUNTIF($A$5:A197,A197))</f>
        <v/>
      </c>
      <c r="C197" s="3"/>
      <c r="D197" s="4" t="str">
        <f t="shared" ref="D197:D260" si="10">IF(C197="","",TEXT(C197,"dddd"))</f>
        <v/>
      </c>
      <c r="E197" s="5"/>
      <c r="F197" s="2"/>
      <c r="G197" s="4" t="str">
        <f>IFERROR(INDEX('Trade Log'!$F$5:$F$204,MATCH(A197,'Trade Log'!$A$5:$A$204,0)),"")</f>
        <v/>
      </c>
      <c r="H197" s="4" t="str">
        <f>IFERROR(INDEX('Trade Log'!$I$5:$I$204,MATCH(A197,'Trade Log'!$A$5:$A$204,0)),"")</f>
        <v/>
      </c>
      <c r="I197" s="7"/>
      <c r="J197" s="8"/>
      <c r="K197" s="8"/>
      <c r="L197" s="8"/>
      <c r="M197" s="2"/>
      <c r="N197" s="9" t="str">
        <f t="shared" ref="N197:N260" si="11">IF(OR(I197="",J197=""),"",I197*J197*100)</f>
        <v/>
      </c>
      <c r="O197" s="9" t="str">
        <f t="shared" ref="O197:O260" si="12">IF(N197="","",N197-IF(K197="",0,K197))</f>
        <v/>
      </c>
      <c r="P197" s="9" t="str">
        <f>IF(A197="","",O197-(I197*INDEX('Trade Log'!$P$5:$P$204,MATCH(A197,'Trade Log'!$A$5:$A$204,0))*100)-IFERROR(INDEX('Trade Log'!$Q$5:$Q$204,MATCH(A197,'Trade Log'!$A$5:$A$204,0))*I197/INDEX('Trade Log'!$O$5:$O$204,MATCH(A197,'Trade Log'!$A$5:$A$204,0)),0))</f>
        <v/>
      </c>
      <c r="Q197" s="12" t="str">
        <f>IFERROR(P197/(I197*INDEX('Trade Log'!$P$5:$P$204,MATCH(A197,'Trade Log'!$A$5:$A$204,0))*100+IFERROR(INDEX('Trade Log'!$Q$5:$Q$204,MATCH(A197,'Trade Log'!$A$5:$A$204,0))*I197/INDEX('Trade Log'!$O$5:$O$204,MATCH(A197,'Trade Log'!$A$5:$A$204,0)),0)),"")</f>
        <v/>
      </c>
      <c r="R197" s="10"/>
    </row>
    <row r="198" spans="1:18">
      <c r="A198" s="2"/>
      <c r="B198" s="4" t="str">
        <f>IF(A198="","",COUNTIF($A$5:A198,A198))</f>
        <v/>
      </c>
      <c r="C198" s="3"/>
      <c r="D198" s="4" t="str">
        <f t="shared" si="10"/>
        <v/>
      </c>
      <c r="E198" s="5"/>
      <c r="F198" s="2"/>
      <c r="G198" s="4" t="str">
        <f>IFERROR(INDEX('Trade Log'!$F$5:$F$204,MATCH(A198,'Trade Log'!$A$5:$A$204,0)),"")</f>
        <v/>
      </c>
      <c r="H198" s="4" t="str">
        <f>IFERROR(INDEX('Trade Log'!$I$5:$I$204,MATCH(A198,'Trade Log'!$A$5:$A$204,0)),"")</f>
        <v/>
      </c>
      <c r="I198" s="7"/>
      <c r="J198" s="8"/>
      <c r="K198" s="8"/>
      <c r="L198" s="8"/>
      <c r="M198" s="2"/>
      <c r="N198" s="9" t="str">
        <f t="shared" si="11"/>
        <v/>
      </c>
      <c r="O198" s="9" t="str">
        <f t="shared" si="12"/>
        <v/>
      </c>
      <c r="P198" s="9" t="str">
        <f>IF(A198="","",O198-(I198*INDEX('Trade Log'!$P$5:$P$204,MATCH(A198,'Trade Log'!$A$5:$A$204,0))*100)-IFERROR(INDEX('Trade Log'!$Q$5:$Q$204,MATCH(A198,'Trade Log'!$A$5:$A$204,0))*I198/INDEX('Trade Log'!$O$5:$O$204,MATCH(A198,'Trade Log'!$A$5:$A$204,0)),0))</f>
        <v/>
      </c>
      <c r="Q198" s="12" t="str">
        <f>IFERROR(P198/(I198*INDEX('Trade Log'!$P$5:$P$204,MATCH(A198,'Trade Log'!$A$5:$A$204,0))*100+IFERROR(INDEX('Trade Log'!$Q$5:$Q$204,MATCH(A198,'Trade Log'!$A$5:$A$204,0))*I198/INDEX('Trade Log'!$O$5:$O$204,MATCH(A198,'Trade Log'!$A$5:$A$204,0)),0)),"")</f>
        <v/>
      </c>
      <c r="R198" s="10"/>
    </row>
    <row r="199" spans="1:18">
      <c r="A199" s="2"/>
      <c r="B199" s="4" t="str">
        <f>IF(A199="","",COUNTIF($A$5:A199,A199))</f>
        <v/>
      </c>
      <c r="C199" s="3"/>
      <c r="D199" s="4" t="str">
        <f t="shared" si="10"/>
        <v/>
      </c>
      <c r="E199" s="5"/>
      <c r="F199" s="2"/>
      <c r="G199" s="4" t="str">
        <f>IFERROR(INDEX('Trade Log'!$F$5:$F$204,MATCH(A199,'Trade Log'!$A$5:$A$204,0)),"")</f>
        <v/>
      </c>
      <c r="H199" s="4" t="str">
        <f>IFERROR(INDEX('Trade Log'!$I$5:$I$204,MATCH(A199,'Trade Log'!$A$5:$A$204,0)),"")</f>
        <v/>
      </c>
      <c r="I199" s="7"/>
      <c r="J199" s="8"/>
      <c r="K199" s="8"/>
      <c r="L199" s="8"/>
      <c r="M199" s="2"/>
      <c r="N199" s="9" t="str">
        <f t="shared" si="11"/>
        <v/>
      </c>
      <c r="O199" s="9" t="str">
        <f t="shared" si="12"/>
        <v/>
      </c>
      <c r="P199" s="9" t="str">
        <f>IF(A199="","",O199-(I199*INDEX('Trade Log'!$P$5:$P$204,MATCH(A199,'Trade Log'!$A$5:$A$204,0))*100)-IFERROR(INDEX('Trade Log'!$Q$5:$Q$204,MATCH(A199,'Trade Log'!$A$5:$A$204,0))*I199/INDEX('Trade Log'!$O$5:$O$204,MATCH(A199,'Trade Log'!$A$5:$A$204,0)),0))</f>
        <v/>
      </c>
      <c r="Q199" s="12" t="str">
        <f>IFERROR(P199/(I199*INDEX('Trade Log'!$P$5:$P$204,MATCH(A199,'Trade Log'!$A$5:$A$204,0))*100+IFERROR(INDEX('Trade Log'!$Q$5:$Q$204,MATCH(A199,'Trade Log'!$A$5:$A$204,0))*I199/INDEX('Trade Log'!$O$5:$O$204,MATCH(A199,'Trade Log'!$A$5:$A$204,0)),0)),"")</f>
        <v/>
      </c>
      <c r="R199" s="10"/>
    </row>
    <row r="200" spans="1:18">
      <c r="A200" s="2"/>
      <c r="B200" s="4" t="str">
        <f>IF(A200="","",COUNTIF($A$5:A200,A200))</f>
        <v/>
      </c>
      <c r="C200" s="3"/>
      <c r="D200" s="4" t="str">
        <f t="shared" si="10"/>
        <v/>
      </c>
      <c r="E200" s="5"/>
      <c r="F200" s="2"/>
      <c r="G200" s="4" t="str">
        <f>IFERROR(INDEX('Trade Log'!$F$5:$F$204,MATCH(A200,'Trade Log'!$A$5:$A$204,0)),"")</f>
        <v/>
      </c>
      <c r="H200" s="4" t="str">
        <f>IFERROR(INDEX('Trade Log'!$I$5:$I$204,MATCH(A200,'Trade Log'!$A$5:$A$204,0)),"")</f>
        <v/>
      </c>
      <c r="I200" s="7"/>
      <c r="J200" s="8"/>
      <c r="K200" s="8"/>
      <c r="L200" s="8"/>
      <c r="M200" s="2"/>
      <c r="N200" s="9" t="str">
        <f t="shared" si="11"/>
        <v/>
      </c>
      <c r="O200" s="9" t="str">
        <f t="shared" si="12"/>
        <v/>
      </c>
      <c r="P200" s="9" t="str">
        <f>IF(A200="","",O200-(I200*INDEX('Trade Log'!$P$5:$P$204,MATCH(A200,'Trade Log'!$A$5:$A$204,0))*100)-IFERROR(INDEX('Trade Log'!$Q$5:$Q$204,MATCH(A200,'Trade Log'!$A$5:$A$204,0))*I200/INDEX('Trade Log'!$O$5:$O$204,MATCH(A200,'Trade Log'!$A$5:$A$204,0)),0))</f>
        <v/>
      </c>
      <c r="Q200" s="12" t="str">
        <f>IFERROR(P200/(I200*INDEX('Trade Log'!$P$5:$P$204,MATCH(A200,'Trade Log'!$A$5:$A$204,0))*100+IFERROR(INDEX('Trade Log'!$Q$5:$Q$204,MATCH(A200,'Trade Log'!$A$5:$A$204,0))*I200/INDEX('Trade Log'!$O$5:$O$204,MATCH(A200,'Trade Log'!$A$5:$A$204,0)),0)),"")</f>
        <v/>
      </c>
      <c r="R200" s="10"/>
    </row>
    <row r="201" spans="1:18">
      <c r="A201" s="2"/>
      <c r="B201" s="4" t="str">
        <f>IF(A201="","",COUNTIF($A$5:A201,A201))</f>
        <v/>
      </c>
      <c r="C201" s="3"/>
      <c r="D201" s="4" t="str">
        <f t="shared" si="10"/>
        <v/>
      </c>
      <c r="E201" s="5"/>
      <c r="F201" s="2"/>
      <c r="G201" s="4" t="str">
        <f>IFERROR(INDEX('Trade Log'!$F$5:$F$204,MATCH(A201,'Trade Log'!$A$5:$A$204,0)),"")</f>
        <v/>
      </c>
      <c r="H201" s="4" t="str">
        <f>IFERROR(INDEX('Trade Log'!$I$5:$I$204,MATCH(A201,'Trade Log'!$A$5:$A$204,0)),"")</f>
        <v/>
      </c>
      <c r="I201" s="7"/>
      <c r="J201" s="8"/>
      <c r="K201" s="8"/>
      <c r="L201" s="8"/>
      <c r="M201" s="2"/>
      <c r="N201" s="9" t="str">
        <f t="shared" si="11"/>
        <v/>
      </c>
      <c r="O201" s="9" t="str">
        <f t="shared" si="12"/>
        <v/>
      </c>
      <c r="P201" s="9" t="str">
        <f>IF(A201="","",O201-(I201*INDEX('Trade Log'!$P$5:$P$204,MATCH(A201,'Trade Log'!$A$5:$A$204,0))*100)-IFERROR(INDEX('Trade Log'!$Q$5:$Q$204,MATCH(A201,'Trade Log'!$A$5:$A$204,0))*I201/INDEX('Trade Log'!$O$5:$O$204,MATCH(A201,'Trade Log'!$A$5:$A$204,0)),0))</f>
        <v/>
      </c>
      <c r="Q201" s="12" t="str">
        <f>IFERROR(P201/(I201*INDEX('Trade Log'!$P$5:$P$204,MATCH(A201,'Trade Log'!$A$5:$A$204,0))*100+IFERROR(INDEX('Trade Log'!$Q$5:$Q$204,MATCH(A201,'Trade Log'!$A$5:$A$204,0))*I201/INDEX('Trade Log'!$O$5:$O$204,MATCH(A201,'Trade Log'!$A$5:$A$204,0)),0)),"")</f>
        <v/>
      </c>
      <c r="R201" s="10"/>
    </row>
    <row r="202" spans="1:18">
      <c r="A202" s="2"/>
      <c r="B202" s="4" t="str">
        <f>IF(A202="","",COUNTIF($A$5:A202,A202))</f>
        <v/>
      </c>
      <c r="C202" s="3"/>
      <c r="D202" s="4" t="str">
        <f t="shared" si="10"/>
        <v/>
      </c>
      <c r="E202" s="5"/>
      <c r="F202" s="2"/>
      <c r="G202" s="4" t="str">
        <f>IFERROR(INDEX('Trade Log'!$F$5:$F$204,MATCH(A202,'Trade Log'!$A$5:$A$204,0)),"")</f>
        <v/>
      </c>
      <c r="H202" s="4" t="str">
        <f>IFERROR(INDEX('Trade Log'!$I$5:$I$204,MATCH(A202,'Trade Log'!$A$5:$A$204,0)),"")</f>
        <v/>
      </c>
      <c r="I202" s="7"/>
      <c r="J202" s="8"/>
      <c r="K202" s="8"/>
      <c r="L202" s="8"/>
      <c r="M202" s="2"/>
      <c r="N202" s="9" t="str">
        <f t="shared" si="11"/>
        <v/>
      </c>
      <c r="O202" s="9" t="str">
        <f t="shared" si="12"/>
        <v/>
      </c>
      <c r="P202" s="9" t="str">
        <f>IF(A202="","",O202-(I202*INDEX('Trade Log'!$P$5:$P$204,MATCH(A202,'Trade Log'!$A$5:$A$204,0))*100)-IFERROR(INDEX('Trade Log'!$Q$5:$Q$204,MATCH(A202,'Trade Log'!$A$5:$A$204,0))*I202/INDEX('Trade Log'!$O$5:$O$204,MATCH(A202,'Trade Log'!$A$5:$A$204,0)),0))</f>
        <v/>
      </c>
      <c r="Q202" s="12" t="str">
        <f>IFERROR(P202/(I202*INDEX('Trade Log'!$P$5:$P$204,MATCH(A202,'Trade Log'!$A$5:$A$204,0))*100+IFERROR(INDEX('Trade Log'!$Q$5:$Q$204,MATCH(A202,'Trade Log'!$A$5:$A$204,0))*I202/INDEX('Trade Log'!$O$5:$O$204,MATCH(A202,'Trade Log'!$A$5:$A$204,0)),0)),"")</f>
        <v/>
      </c>
      <c r="R202" s="10"/>
    </row>
    <row r="203" spans="1:18">
      <c r="A203" s="2"/>
      <c r="B203" s="4" t="str">
        <f>IF(A203="","",COUNTIF($A$5:A203,A203))</f>
        <v/>
      </c>
      <c r="C203" s="3"/>
      <c r="D203" s="4" t="str">
        <f t="shared" si="10"/>
        <v/>
      </c>
      <c r="E203" s="5"/>
      <c r="F203" s="2"/>
      <c r="G203" s="4" t="str">
        <f>IFERROR(INDEX('Trade Log'!$F$5:$F$204,MATCH(A203,'Trade Log'!$A$5:$A$204,0)),"")</f>
        <v/>
      </c>
      <c r="H203" s="4" t="str">
        <f>IFERROR(INDEX('Trade Log'!$I$5:$I$204,MATCH(A203,'Trade Log'!$A$5:$A$204,0)),"")</f>
        <v/>
      </c>
      <c r="I203" s="7"/>
      <c r="J203" s="8"/>
      <c r="K203" s="8"/>
      <c r="L203" s="8"/>
      <c r="M203" s="2"/>
      <c r="N203" s="9" t="str">
        <f t="shared" si="11"/>
        <v/>
      </c>
      <c r="O203" s="9" t="str">
        <f t="shared" si="12"/>
        <v/>
      </c>
      <c r="P203" s="9" t="str">
        <f>IF(A203="","",O203-(I203*INDEX('Trade Log'!$P$5:$P$204,MATCH(A203,'Trade Log'!$A$5:$A$204,0))*100)-IFERROR(INDEX('Trade Log'!$Q$5:$Q$204,MATCH(A203,'Trade Log'!$A$5:$A$204,0))*I203/INDEX('Trade Log'!$O$5:$O$204,MATCH(A203,'Trade Log'!$A$5:$A$204,0)),0))</f>
        <v/>
      </c>
      <c r="Q203" s="12" t="str">
        <f>IFERROR(P203/(I203*INDEX('Trade Log'!$P$5:$P$204,MATCH(A203,'Trade Log'!$A$5:$A$204,0))*100+IFERROR(INDEX('Trade Log'!$Q$5:$Q$204,MATCH(A203,'Trade Log'!$A$5:$A$204,0))*I203/INDEX('Trade Log'!$O$5:$O$204,MATCH(A203,'Trade Log'!$A$5:$A$204,0)),0)),"")</f>
        <v/>
      </c>
      <c r="R203" s="10"/>
    </row>
    <row r="204" spans="1:18">
      <c r="A204" s="2"/>
      <c r="B204" s="4" t="str">
        <f>IF(A204="","",COUNTIF($A$5:A204,A204))</f>
        <v/>
      </c>
      <c r="C204" s="3"/>
      <c r="D204" s="4" t="str">
        <f t="shared" si="10"/>
        <v/>
      </c>
      <c r="E204" s="5"/>
      <c r="F204" s="2"/>
      <c r="G204" s="4" t="str">
        <f>IFERROR(INDEX('Trade Log'!$F$5:$F$204,MATCH(A204,'Trade Log'!$A$5:$A$204,0)),"")</f>
        <v/>
      </c>
      <c r="H204" s="4" t="str">
        <f>IFERROR(INDEX('Trade Log'!$I$5:$I$204,MATCH(A204,'Trade Log'!$A$5:$A$204,0)),"")</f>
        <v/>
      </c>
      <c r="I204" s="7"/>
      <c r="J204" s="8"/>
      <c r="K204" s="8"/>
      <c r="L204" s="8"/>
      <c r="M204" s="2"/>
      <c r="N204" s="9" t="str">
        <f t="shared" si="11"/>
        <v/>
      </c>
      <c r="O204" s="9" t="str">
        <f t="shared" si="12"/>
        <v/>
      </c>
      <c r="P204" s="9" t="str">
        <f>IF(A204="","",O204-(I204*INDEX('Trade Log'!$P$5:$P$204,MATCH(A204,'Trade Log'!$A$5:$A$204,0))*100)-IFERROR(INDEX('Trade Log'!$Q$5:$Q$204,MATCH(A204,'Trade Log'!$A$5:$A$204,0))*I204/INDEX('Trade Log'!$O$5:$O$204,MATCH(A204,'Trade Log'!$A$5:$A$204,0)),0))</f>
        <v/>
      </c>
      <c r="Q204" s="12" t="str">
        <f>IFERROR(P204/(I204*INDEX('Trade Log'!$P$5:$P$204,MATCH(A204,'Trade Log'!$A$5:$A$204,0))*100+IFERROR(INDEX('Trade Log'!$Q$5:$Q$204,MATCH(A204,'Trade Log'!$A$5:$A$204,0))*I204/INDEX('Trade Log'!$O$5:$O$204,MATCH(A204,'Trade Log'!$A$5:$A$204,0)),0)),"")</f>
        <v/>
      </c>
      <c r="R204" s="10"/>
    </row>
    <row r="205" spans="1:18">
      <c r="A205" s="2"/>
      <c r="B205" s="4" t="str">
        <f>IF(A205="","",COUNTIF($A$5:A205,A205))</f>
        <v/>
      </c>
      <c r="C205" s="3"/>
      <c r="D205" s="4" t="str">
        <f t="shared" si="10"/>
        <v/>
      </c>
      <c r="E205" s="5"/>
      <c r="F205" s="2"/>
      <c r="G205" s="4" t="str">
        <f>IFERROR(INDEX('Trade Log'!$F$5:$F$204,MATCH(A205,'Trade Log'!$A$5:$A$204,0)),"")</f>
        <v/>
      </c>
      <c r="H205" s="4" t="str">
        <f>IFERROR(INDEX('Trade Log'!$I$5:$I$204,MATCH(A205,'Trade Log'!$A$5:$A$204,0)),"")</f>
        <v/>
      </c>
      <c r="I205" s="7"/>
      <c r="J205" s="8"/>
      <c r="K205" s="8"/>
      <c r="L205" s="8"/>
      <c r="M205" s="2"/>
      <c r="N205" s="9" t="str">
        <f t="shared" si="11"/>
        <v/>
      </c>
      <c r="O205" s="9" t="str">
        <f t="shared" si="12"/>
        <v/>
      </c>
      <c r="P205" s="9" t="str">
        <f>IF(A205="","",O205-(I205*INDEX('Trade Log'!$P$5:$P$204,MATCH(A205,'Trade Log'!$A$5:$A$204,0))*100)-IFERROR(INDEX('Trade Log'!$Q$5:$Q$204,MATCH(A205,'Trade Log'!$A$5:$A$204,0))*I205/INDEX('Trade Log'!$O$5:$O$204,MATCH(A205,'Trade Log'!$A$5:$A$204,0)),0))</f>
        <v/>
      </c>
      <c r="Q205" s="12" t="str">
        <f>IFERROR(P205/(I205*INDEX('Trade Log'!$P$5:$P$204,MATCH(A205,'Trade Log'!$A$5:$A$204,0))*100+IFERROR(INDEX('Trade Log'!$Q$5:$Q$204,MATCH(A205,'Trade Log'!$A$5:$A$204,0))*I205/INDEX('Trade Log'!$O$5:$O$204,MATCH(A205,'Trade Log'!$A$5:$A$204,0)),0)),"")</f>
        <v/>
      </c>
      <c r="R205" s="10"/>
    </row>
    <row r="206" spans="1:18">
      <c r="A206" s="2"/>
      <c r="B206" s="4" t="str">
        <f>IF(A206="","",COUNTIF($A$5:A206,A206))</f>
        <v/>
      </c>
      <c r="C206" s="3"/>
      <c r="D206" s="4" t="str">
        <f t="shared" si="10"/>
        <v/>
      </c>
      <c r="E206" s="5"/>
      <c r="F206" s="2"/>
      <c r="G206" s="4" t="str">
        <f>IFERROR(INDEX('Trade Log'!$F$5:$F$204,MATCH(A206,'Trade Log'!$A$5:$A$204,0)),"")</f>
        <v/>
      </c>
      <c r="H206" s="4" t="str">
        <f>IFERROR(INDEX('Trade Log'!$I$5:$I$204,MATCH(A206,'Trade Log'!$A$5:$A$204,0)),"")</f>
        <v/>
      </c>
      <c r="I206" s="7"/>
      <c r="J206" s="8"/>
      <c r="K206" s="8"/>
      <c r="L206" s="8"/>
      <c r="M206" s="2"/>
      <c r="N206" s="9" t="str">
        <f t="shared" si="11"/>
        <v/>
      </c>
      <c r="O206" s="9" t="str">
        <f t="shared" si="12"/>
        <v/>
      </c>
      <c r="P206" s="9" t="str">
        <f>IF(A206="","",O206-(I206*INDEX('Trade Log'!$P$5:$P$204,MATCH(A206,'Trade Log'!$A$5:$A$204,0))*100)-IFERROR(INDEX('Trade Log'!$Q$5:$Q$204,MATCH(A206,'Trade Log'!$A$5:$A$204,0))*I206/INDEX('Trade Log'!$O$5:$O$204,MATCH(A206,'Trade Log'!$A$5:$A$204,0)),0))</f>
        <v/>
      </c>
      <c r="Q206" s="12" t="str">
        <f>IFERROR(P206/(I206*INDEX('Trade Log'!$P$5:$P$204,MATCH(A206,'Trade Log'!$A$5:$A$204,0))*100+IFERROR(INDEX('Trade Log'!$Q$5:$Q$204,MATCH(A206,'Trade Log'!$A$5:$A$204,0))*I206/INDEX('Trade Log'!$O$5:$O$204,MATCH(A206,'Trade Log'!$A$5:$A$204,0)),0)),"")</f>
        <v/>
      </c>
      <c r="R206" s="10"/>
    </row>
    <row r="207" spans="1:18">
      <c r="A207" s="2"/>
      <c r="B207" s="4" t="str">
        <f>IF(A207="","",COUNTIF($A$5:A207,A207))</f>
        <v/>
      </c>
      <c r="C207" s="3"/>
      <c r="D207" s="4" t="str">
        <f t="shared" si="10"/>
        <v/>
      </c>
      <c r="E207" s="5"/>
      <c r="F207" s="2"/>
      <c r="G207" s="4" t="str">
        <f>IFERROR(INDEX('Trade Log'!$F$5:$F$204,MATCH(A207,'Trade Log'!$A$5:$A$204,0)),"")</f>
        <v/>
      </c>
      <c r="H207" s="4" t="str">
        <f>IFERROR(INDEX('Trade Log'!$I$5:$I$204,MATCH(A207,'Trade Log'!$A$5:$A$204,0)),"")</f>
        <v/>
      </c>
      <c r="I207" s="7"/>
      <c r="J207" s="8"/>
      <c r="K207" s="8"/>
      <c r="L207" s="8"/>
      <c r="M207" s="2"/>
      <c r="N207" s="9" t="str">
        <f t="shared" si="11"/>
        <v/>
      </c>
      <c r="O207" s="9" t="str">
        <f t="shared" si="12"/>
        <v/>
      </c>
      <c r="P207" s="9" t="str">
        <f>IF(A207="","",O207-(I207*INDEX('Trade Log'!$P$5:$P$204,MATCH(A207,'Trade Log'!$A$5:$A$204,0))*100)-IFERROR(INDEX('Trade Log'!$Q$5:$Q$204,MATCH(A207,'Trade Log'!$A$5:$A$204,0))*I207/INDEX('Trade Log'!$O$5:$O$204,MATCH(A207,'Trade Log'!$A$5:$A$204,0)),0))</f>
        <v/>
      </c>
      <c r="Q207" s="12" t="str">
        <f>IFERROR(P207/(I207*INDEX('Trade Log'!$P$5:$P$204,MATCH(A207,'Trade Log'!$A$5:$A$204,0))*100+IFERROR(INDEX('Trade Log'!$Q$5:$Q$204,MATCH(A207,'Trade Log'!$A$5:$A$204,0))*I207/INDEX('Trade Log'!$O$5:$O$204,MATCH(A207,'Trade Log'!$A$5:$A$204,0)),0)),"")</f>
        <v/>
      </c>
      <c r="R207" s="10"/>
    </row>
    <row r="208" spans="1:18">
      <c r="A208" s="2"/>
      <c r="B208" s="4" t="str">
        <f>IF(A208="","",COUNTIF($A$5:A208,A208))</f>
        <v/>
      </c>
      <c r="C208" s="3"/>
      <c r="D208" s="4" t="str">
        <f t="shared" si="10"/>
        <v/>
      </c>
      <c r="E208" s="5"/>
      <c r="F208" s="2"/>
      <c r="G208" s="4" t="str">
        <f>IFERROR(INDEX('Trade Log'!$F$5:$F$204,MATCH(A208,'Trade Log'!$A$5:$A$204,0)),"")</f>
        <v/>
      </c>
      <c r="H208" s="4" t="str">
        <f>IFERROR(INDEX('Trade Log'!$I$5:$I$204,MATCH(A208,'Trade Log'!$A$5:$A$204,0)),"")</f>
        <v/>
      </c>
      <c r="I208" s="7"/>
      <c r="J208" s="8"/>
      <c r="K208" s="8"/>
      <c r="L208" s="8"/>
      <c r="M208" s="2"/>
      <c r="N208" s="9" t="str">
        <f t="shared" si="11"/>
        <v/>
      </c>
      <c r="O208" s="9" t="str">
        <f t="shared" si="12"/>
        <v/>
      </c>
      <c r="P208" s="9" t="str">
        <f>IF(A208="","",O208-(I208*INDEX('Trade Log'!$P$5:$P$204,MATCH(A208,'Trade Log'!$A$5:$A$204,0))*100)-IFERROR(INDEX('Trade Log'!$Q$5:$Q$204,MATCH(A208,'Trade Log'!$A$5:$A$204,0))*I208/INDEX('Trade Log'!$O$5:$O$204,MATCH(A208,'Trade Log'!$A$5:$A$204,0)),0))</f>
        <v/>
      </c>
      <c r="Q208" s="12" t="str">
        <f>IFERROR(P208/(I208*INDEX('Trade Log'!$P$5:$P$204,MATCH(A208,'Trade Log'!$A$5:$A$204,0))*100+IFERROR(INDEX('Trade Log'!$Q$5:$Q$204,MATCH(A208,'Trade Log'!$A$5:$A$204,0))*I208/INDEX('Trade Log'!$O$5:$O$204,MATCH(A208,'Trade Log'!$A$5:$A$204,0)),0)),"")</f>
        <v/>
      </c>
      <c r="R208" s="10"/>
    </row>
    <row r="209" spans="1:18">
      <c r="A209" s="2"/>
      <c r="B209" s="4" t="str">
        <f>IF(A209="","",COUNTIF($A$5:A209,A209))</f>
        <v/>
      </c>
      <c r="C209" s="3"/>
      <c r="D209" s="4" t="str">
        <f t="shared" si="10"/>
        <v/>
      </c>
      <c r="E209" s="5"/>
      <c r="F209" s="2"/>
      <c r="G209" s="4" t="str">
        <f>IFERROR(INDEX('Trade Log'!$F$5:$F$204,MATCH(A209,'Trade Log'!$A$5:$A$204,0)),"")</f>
        <v/>
      </c>
      <c r="H209" s="4" t="str">
        <f>IFERROR(INDEX('Trade Log'!$I$5:$I$204,MATCH(A209,'Trade Log'!$A$5:$A$204,0)),"")</f>
        <v/>
      </c>
      <c r="I209" s="7"/>
      <c r="J209" s="8"/>
      <c r="K209" s="8"/>
      <c r="L209" s="8"/>
      <c r="M209" s="2"/>
      <c r="N209" s="9" t="str">
        <f t="shared" si="11"/>
        <v/>
      </c>
      <c r="O209" s="9" t="str">
        <f t="shared" si="12"/>
        <v/>
      </c>
      <c r="P209" s="9" t="str">
        <f>IF(A209="","",O209-(I209*INDEX('Trade Log'!$P$5:$P$204,MATCH(A209,'Trade Log'!$A$5:$A$204,0))*100)-IFERROR(INDEX('Trade Log'!$Q$5:$Q$204,MATCH(A209,'Trade Log'!$A$5:$A$204,0))*I209/INDEX('Trade Log'!$O$5:$O$204,MATCH(A209,'Trade Log'!$A$5:$A$204,0)),0))</f>
        <v/>
      </c>
      <c r="Q209" s="12" t="str">
        <f>IFERROR(P209/(I209*INDEX('Trade Log'!$P$5:$P$204,MATCH(A209,'Trade Log'!$A$5:$A$204,0))*100+IFERROR(INDEX('Trade Log'!$Q$5:$Q$204,MATCH(A209,'Trade Log'!$A$5:$A$204,0))*I209/INDEX('Trade Log'!$O$5:$O$204,MATCH(A209,'Trade Log'!$A$5:$A$204,0)),0)),"")</f>
        <v/>
      </c>
      <c r="R209" s="10"/>
    </row>
    <row r="210" spans="1:18">
      <c r="A210" s="2"/>
      <c r="B210" s="4" t="str">
        <f>IF(A210="","",COUNTIF($A$5:A210,A210))</f>
        <v/>
      </c>
      <c r="C210" s="3"/>
      <c r="D210" s="4" t="str">
        <f t="shared" si="10"/>
        <v/>
      </c>
      <c r="E210" s="5"/>
      <c r="F210" s="2"/>
      <c r="G210" s="4" t="str">
        <f>IFERROR(INDEX('Trade Log'!$F$5:$F$204,MATCH(A210,'Trade Log'!$A$5:$A$204,0)),"")</f>
        <v/>
      </c>
      <c r="H210" s="4" t="str">
        <f>IFERROR(INDEX('Trade Log'!$I$5:$I$204,MATCH(A210,'Trade Log'!$A$5:$A$204,0)),"")</f>
        <v/>
      </c>
      <c r="I210" s="7"/>
      <c r="J210" s="8"/>
      <c r="K210" s="8"/>
      <c r="L210" s="8"/>
      <c r="M210" s="2"/>
      <c r="N210" s="9" t="str">
        <f t="shared" si="11"/>
        <v/>
      </c>
      <c r="O210" s="9" t="str">
        <f t="shared" si="12"/>
        <v/>
      </c>
      <c r="P210" s="9" t="str">
        <f>IF(A210="","",O210-(I210*INDEX('Trade Log'!$P$5:$P$204,MATCH(A210,'Trade Log'!$A$5:$A$204,0))*100)-IFERROR(INDEX('Trade Log'!$Q$5:$Q$204,MATCH(A210,'Trade Log'!$A$5:$A$204,0))*I210/INDEX('Trade Log'!$O$5:$O$204,MATCH(A210,'Trade Log'!$A$5:$A$204,0)),0))</f>
        <v/>
      </c>
      <c r="Q210" s="12" t="str">
        <f>IFERROR(P210/(I210*INDEX('Trade Log'!$P$5:$P$204,MATCH(A210,'Trade Log'!$A$5:$A$204,0))*100+IFERROR(INDEX('Trade Log'!$Q$5:$Q$204,MATCH(A210,'Trade Log'!$A$5:$A$204,0))*I210/INDEX('Trade Log'!$O$5:$O$204,MATCH(A210,'Trade Log'!$A$5:$A$204,0)),0)),"")</f>
        <v/>
      </c>
      <c r="R210" s="10"/>
    </row>
    <row r="211" spans="1:18">
      <c r="A211" s="2"/>
      <c r="B211" s="4" t="str">
        <f>IF(A211="","",COUNTIF($A$5:A211,A211))</f>
        <v/>
      </c>
      <c r="C211" s="3"/>
      <c r="D211" s="4" t="str">
        <f t="shared" si="10"/>
        <v/>
      </c>
      <c r="E211" s="5"/>
      <c r="F211" s="2"/>
      <c r="G211" s="4" t="str">
        <f>IFERROR(INDEX('Trade Log'!$F$5:$F$204,MATCH(A211,'Trade Log'!$A$5:$A$204,0)),"")</f>
        <v/>
      </c>
      <c r="H211" s="4" t="str">
        <f>IFERROR(INDEX('Trade Log'!$I$5:$I$204,MATCH(A211,'Trade Log'!$A$5:$A$204,0)),"")</f>
        <v/>
      </c>
      <c r="I211" s="7"/>
      <c r="J211" s="8"/>
      <c r="K211" s="8"/>
      <c r="L211" s="8"/>
      <c r="M211" s="2"/>
      <c r="N211" s="9" t="str">
        <f t="shared" si="11"/>
        <v/>
      </c>
      <c r="O211" s="9" t="str">
        <f t="shared" si="12"/>
        <v/>
      </c>
      <c r="P211" s="9" t="str">
        <f>IF(A211="","",O211-(I211*INDEX('Trade Log'!$P$5:$P$204,MATCH(A211,'Trade Log'!$A$5:$A$204,0))*100)-IFERROR(INDEX('Trade Log'!$Q$5:$Q$204,MATCH(A211,'Trade Log'!$A$5:$A$204,0))*I211/INDEX('Trade Log'!$O$5:$O$204,MATCH(A211,'Trade Log'!$A$5:$A$204,0)),0))</f>
        <v/>
      </c>
      <c r="Q211" s="12" t="str">
        <f>IFERROR(P211/(I211*INDEX('Trade Log'!$P$5:$P$204,MATCH(A211,'Trade Log'!$A$5:$A$204,0))*100+IFERROR(INDEX('Trade Log'!$Q$5:$Q$204,MATCH(A211,'Trade Log'!$A$5:$A$204,0))*I211/INDEX('Trade Log'!$O$5:$O$204,MATCH(A211,'Trade Log'!$A$5:$A$204,0)),0)),"")</f>
        <v/>
      </c>
      <c r="R211" s="10"/>
    </row>
    <row r="212" spans="1:18">
      <c r="A212" s="2"/>
      <c r="B212" s="4" t="str">
        <f>IF(A212="","",COUNTIF($A$5:A212,A212))</f>
        <v/>
      </c>
      <c r="C212" s="3"/>
      <c r="D212" s="4" t="str">
        <f t="shared" si="10"/>
        <v/>
      </c>
      <c r="E212" s="5"/>
      <c r="F212" s="2"/>
      <c r="G212" s="4" t="str">
        <f>IFERROR(INDEX('Trade Log'!$F$5:$F$204,MATCH(A212,'Trade Log'!$A$5:$A$204,0)),"")</f>
        <v/>
      </c>
      <c r="H212" s="4" t="str">
        <f>IFERROR(INDEX('Trade Log'!$I$5:$I$204,MATCH(A212,'Trade Log'!$A$5:$A$204,0)),"")</f>
        <v/>
      </c>
      <c r="I212" s="7"/>
      <c r="J212" s="8"/>
      <c r="K212" s="8"/>
      <c r="L212" s="8"/>
      <c r="M212" s="2"/>
      <c r="N212" s="9" t="str">
        <f t="shared" si="11"/>
        <v/>
      </c>
      <c r="O212" s="9" t="str">
        <f t="shared" si="12"/>
        <v/>
      </c>
      <c r="P212" s="9" t="str">
        <f>IF(A212="","",O212-(I212*INDEX('Trade Log'!$P$5:$P$204,MATCH(A212,'Trade Log'!$A$5:$A$204,0))*100)-IFERROR(INDEX('Trade Log'!$Q$5:$Q$204,MATCH(A212,'Trade Log'!$A$5:$A$204,0))*I212/INDEX('Trade Log'!$O$5:$O$204,MATCH(A212,'Trade Log'!$A$5:$A$204,0)),0))</f>
        <v/>
      </c>
      <c r="Q212" s="12" t="str">
        <f>IFERROR(P212/(I212*INDEX('Trade Log'!$P$5:$P$204,MATCH(A212,'Trade Log'!$A$5:$A$204,0))*100+IFERROR(INDEX('Trade Log'!$Q$5:$Q$204,MATCH(A212,'Trade Log'!$A$5:$A$204,0))*I212/INDEX('Trade Log'!$O$5:$O$204,MATCH(A212,'Trade Log'!$A$5:$A$204,0)),0)),"")</f>
        <v/>
      </c>
      <c r="R212" s="10"/>
    </row>
    <row r="213" spans="1:18">
      <c r="A213" s="2"/>
      <c r="B213" s="4" t="str">
        <f>IF(A213="","",COUNTIF($A$5:A213,A213))</f>
        <v/>
      </c>
      <c r="C213" s="3"/>
      <c r="D213" s="4" t="str">
        <f t="shared" si="10"/>
        <v/>
      </c>
      <c r="E213" s="5"/>
      <c r="F213" s="2"/>
      <c r="G213" s="4" t="str">
        <f>IFERROR(INDEX('Trade Log'!$F$5:$F$204,MATCH(A213,'Trade Log'!$A$5:$A$204,0)),"")</f>
        <v/>
      </c>
      <c r="H213" s="4" t="str">
        <f>IFERROR(INDEX('Trade Log'!$I$5:$I$204,MATCH(A213,'Trade Log'!$A$5:$A$204,0)),"")</f>
        <v/>
      </c>
      <c r="I213" s="7"/>
      <c r="J213" s="8"/>
      <c r="K213" s="8"/>
      <c r="L213" s="8"/>
      <c r="M213" s="2"/>
      <c r="N213" s="9" t="str">
        <f t="shared" si="11"/>
        <v/>
      </c>
      <c r="O213" s="9" t="str">
        <f t="shared" si="12"/>
        <v/>
      </c>
      <c r="P213" s="9" t="str">
        <f>IF(A213="","",O213-(I213*INDEX('Trade Log'!$P$5:$P$204,MATCH(A213,'Trade Log'!$A$5:$A$204,0))*100)-IFERROR(INDEX('Trade Log'!$Q$5:$Q$204,MATCH(A213,'Trade Log'!$A$5:$A$204,0))*I213/INDEX('Trade Log'!$O$5:$O$204,MATCH(A213,'Trade Log'!$A$5:$A$204,0)),0))</f>
        <v/>
      </c>
      <c r="Q213" s="12" t="str">
        <f>IFERROR(P213/(I213*INDEX('Trade Log'!$P$5:$P$204,MATCH(A213,'Trade Log'!$A$5:$A$204,0))*100+IFERROR(INDEX('Trade Log'!$Q$5:$Q$204,MATCH(A213,'Trade Log'!$A$5:$A$204,0))*I213/INDEX('Trade Log'!$O$5:$O$204,MATCH(A213,'Trade Log'!$A$5:$A$204,0)),0)),"")</f>
        <v/>
      </c>
      <c r="R213" s="10"/>
    </row>
    <row r="214" spans="1:18">
      <c r="A214" s="2"/>
      <c r="B214" s="4" t="str">
        <f>IF(A214="","",COUNTIF($A$5:A214,A214))</f>
        <v/>
      </c>
      <c r="C214" s="3"/>
      <c r="D214" s="4" t="str">
        <f t="shared" si="10"/>
        <v/>
      </c>
      <c r="E214" s="5"/>
      <c r="F214" s="2"/>
      <c r="G214" s="4" t="str">
        <f>IFERROR(INDEX('Trade Log'!$F$5:$F$204,MATCH(A214,'Trade Log'!$A$5:$A$204,0)),"")</f>
        <v/>
      </c>
      <c r="H214" s="4" t="str">
        <f>IFERROR(INDEX('Trade Log'!$I$5:$I$204,MATCH(A214,'Trade Log'!$A$5:$A$204,0)),"")</f>
        <v/>
      </c>
      <c r="I214" s="7"/>
      <c r="J214" s="8"/>
      <c r="K214" s="8"/>
      <c r="L214" s="8"/>
      <c r="M214" s="2"/>
      <c r="N214" s="9" t="str">
        <f t="shared" si="11"/>
        <v/>
      </c>
      <c r="O214" s="9" t="str">
        <f t="shared" si="12"/>
        <v/>
      </c>
      <c r="P214" s="9" t="str">
        <f>IF(A214="","",O214-(I214*INDEX('Trade Log'!$P$5:$P$204,MATCH(A214,'Trade Log'!$A$5:$A$204,0))*100)-IFERROR(INDEX('Trade Log'!$Q$5:$Q$204,MATCH(A214,'Trade Log'!$A$5:$A$204,0))*I214/INDEX('Trade Log'!$O$5:$O$204,MATCH(A214,'Trade Log'!$A$5:$A$204,0)),0))</f>
        <v/>
      </c>
      <c r="Q214" s="12" t="str">
        <f>IFERROR(P214/(I214*INDEX('Trade Log'!$P$5:$P$204,MATCH(A214,'Trade Log'!$A$5:$A$204,0))*100+IFERROR(INDEX('Trade Log'!$Q$5:$Q$204,MATCH(A214,'Trade Log'!$A$5:$A$204,0))*I214/INDEX('Trade Log'!$O$5:$O$204,MATCH(A214,'Trade Log'!$A$5:$A$204,0)),0)),"")</f>
        <v/>
      </c>
      <c r="R214" s="10"/>
    </row>
    <row r="215" spans="1:18">
      <c r="A215" s="2"/>
      <c r="B215" s="4" t="str">
        <f>IF(A215="","",COUNTIF($A$5:A215,A215))</f>
        <v/>
      </c>
      <c r="C215" s="3"/>
      <c r="D215" s="4" t="str">
        <f t="shared" si="10"/>
        <v/>
      </c>
      <c r="E215" s="5"/>
      <c r="F215" s="2"/>
      <c r="G215" s="4" t="str">
        <f>IFERROR(INDEX('Trade Log'!$F$5:$F$204,MATCH(A215,'Trade Log'!$A$5:$A$204,0)),"")</f>
        <v/>
      </c>
      <c r="H215" s="4" t="str">
        <f>IFERROR(INDEX('Trade Log'!$I$5:$I$204,MATCH(A215,'Trade Log'!$A$5:$A$204,0)),"")</f>
        <v/>
      </c>
      <c r="I215" s="7"/>
      <c r="J215" s="8"/>
      <c r="K215" s="8"/>
      <c r="L215" s="8"/>
      <c r="M215" s="2"/>
      <c r="N215" s="9" t="str">
        <f t="shared" si="11"/>
        <v/>
      </c>
      <c r="O215" s="9" t="str">
        <f t="shared" si="12"/>
        <v/>
      </c>
      <c r="P215" s="9" t="str">
        <f>IF(A215="","",O215-(I215*INDEX('Trade Log'!$P$5:$P$204,MATCH(A215,'Trade Log'!$A$5:$A$204,0))*100)-IFERROR(INDEX('Trade Log'!$Q$5:$Q$204,MATCH(A215,'Trade Log'!$A$5:$A$204,0))*I215/INDEX('Trade Log'!$O$5:$O$204,MATCH(A215,'Trade Log'!$A$5:$A$204,0)),0))</f>
        <v/>
      </c>
      <c r="Q215" s="12" t="str">
        <f>IFERROR(P215/(I215*INDEX('Trade Log'!$P$5:$P$204,MATCH(A215,'Trade Log'!$A$5:$A$204,0))*100+IFERROR(INDEX('Trade Log'!$Q$5:$Q$204,MATCH(A215,'Trade Log'!$A$5:$A$204,0))*I215/INDEX('Trade Log'!$O$5:$O$204,MATCH(A215,'Trade Log'!$A$5:$A$204,0)),0)),"")</f>
        <v/>
      </c>
      <c r="R215" s="10"/>
    </row>
    <row r="216" spans="1:18">
      <c r="A216" s="2"/>
      <c r="B216" s="4" t="str">
        <f>IF(A216="","",COUNTIF($A$5:A216,A216))</f>
        <v/>
      </c>
      <c r="C216" s="3"/>
      <c r="D216" s="4" t="str">
        <f t="shared" si="10"/>
        <v/>
      </c>
      <c r="E216" s="5"/>
      <c r="F216" s="2"/>
      <c r="G216" s="4" t="str">
        <f>IFERROR(INDEX('Trade Log'!$F$5:$F$204,MATCH(A216,'Trade Log'!$A$5:$A$204,0)),"")</f>
        <v/>
      </c>
      <c r="H216" s="4" t="str">
        <f>IFERROR(INDEX('Trade Log'!$I$5:$I$204,MATCH(A216,'Trade Log'!$A$5:$A$204,0)),"")</f>
        <v/>
      </c>
      <c r="I216" s="7"/>
      <c r="J216" s="8"/>
      <c r="K216" s="8"/>
      <c r="L216" s="8"/>
      <c r="M216" s="2"/>
      <c r="N216" s="9" t="str">
        <f t="shared" si="11"/>
        <v/>
      </c>
      <c r="O216" s="9" t="str">
        <f t="shared" si="12"/>
        <v/>
      </c>
      <c r="P216" s="9" t="str">
        <f>IF(A216="","",O216-(I216*INDEX('Trade Log'!$P$5:$P$204,MATCH(A216,'Trade Log'!$A$5:$A$204,0))*100)-IFERROR(INDEX('Trade Log'!$Q$5:$Q$204,MATCH(A216,'Trade Log'!$A$5:$A$204,0))*I216/INDEX('Trade Log'!$O$5:$O$204,MATCH(A216,'Trade Log'!$A$5:$A$204,0)),0))</f>
        <v/>
      </c>
      <c r="Q216" s="12" t="str">
        <f>IFERROR(P216/(I216*INDEX('Trade Log'!$P$5:$P$204,MATCH(A216,'Trade Log'!$A$5:$A$204,0))*100+IFERROR(INDEX('Trade Log'!$Q$5:$Q$204,MATCH(A216,'Trade Log'!$A$5:$A$204,0))*I216/INDEX('Trade Log'!$O$5:$O$204,MATCH(A216,'Trade Log'!$A$5:$A$204,0)),0)),"")</f>
        <v/>
      </c>
      <c r="R216" s="10"/>
    </row>
    <row r="217" spans="1:18">
      <c r="A217" s="2"/>
      <c r="B217" s="4" t="str">
        <f>IF(A217="","",COUNTIF($A$5:A217,A217))</f>
        <v/>
      </c>
      <c r="C217" s="3"/>
      <c r="D217" s="4" t="str">
        <f t="shared" si="10"/>
        <v/>
      </c>
      <c r="E217" s="5"/>
      <c r="F217" s="2"/>
      <c r="G217" s="4" t="str">
        <f>IFERROR(INDEX('Trade Log'!$F$5:$F$204,MATCH(A217,'Trade Log'!$A$5:$A$204,0)),"")</f>
        <v/>
      </c>
      <c r="H217" s="4" t="str">
        <f>IFERROR(INDEX('Trade Log'!$I$5:$I$204,MATCH(A217,'Trade Log'!$A$5:$A$204,0)),"")</f>
        <v/>
      </c>
      <c r="I217" s="7"/>
      <c r="J217" s="8"/>
      <c r="K217" s="8"/>
      <c r="L217" s="8"/>
      <c r="M217" s="2"/>
      <c r="N217" s="9" t="str">
        <f t="shared" si="11"/>
        <v/>
      </c>
      <c r="O217" s="9" t="str">
        <f t="shared" si="12"/>
        <v/>
      </c>
      <c r="P217" s="9" t="str">
        <f>IF(A217="","",O217-(I217*INDEX('Trade Log'!$P$5:$P$204,MATCH(A217,'Trade Log'!$A$5:$A$204,0))*100)-IFERROR(INDEX('Trade Log'!$Q$5:$Q$204,MATCH(A217,'Trade Log'!$A$5:$A$204,0))*I217/INDEX('Trade Log'!$O$5:$O$204,MATCH(A217,'Trade Log'!$A$5:$A$204,0)),0))</f>
        <v/>
      </c>
      <c r="Q217" s="12" t="str">
        <f>IFERROR(P217/(I217*INDEX('Trade Log'!$P$5:$P$204,MATCH(A217,'Trade Log'!$A$5:$A$204,0))*100+IFERROR(INDEX('Trade Log'!$Q$5:$Q$204,MATCH(A217,'Trade Log'!$A$5:$A$204,0))*I217/INDEX('Trade Log'!$O$5:$O$204,MATCH(A217,'Trade Log'!$A$5:$A$204,0)),0)),"")</f>
        <v/>
      </c>
      <c r="R217" s="10"/>
    </row>
    <row r="218" spans="1:18">
      <c r="A218" s="2"/>
      <c r="B218" s="4" t="str">
        <f>IF(A218="","",COUNTIF($A$5:A218,A218))</f>
        <v/>
      </c>
      <c r="C218" s="3"/>
      <c r="D218" s="4" t="str">
        <f t="shared" si="10"/>
        <v/>
      </c>
      <c r="E218" s="5"/>
      <c r="F218" s="2"/>
      <c r="G218" s="4" t="str">
        <f>IFERROR(INDEX('Trade Log'!$F$5:$F$204,MATCH(A218,'Trade Log'!$A$5:$A$204,0)),"")</f>
        <v/>
      </c>
      <c r="H218" s="4" t="str">
        <f>IFERROR(INDEX('Trade Log'!$I$5:$I$204,MATCH(A218,'Trade Log'!$A$5:$A$204,0)),"")</f>
        <v/>
      </c>
      <c r="I218" s="7"/>
      <c r="J218" s="8"/>
      <c r="K218" s="8"/>
      <c r="L218" s="8"/>
      <c r="M218" s="2"/>
      <c r="N218" s="9" t="str">
        <f t="shared" si="11"/>
        <v/>
      </c>
      <c r="O218" s="9" t="str">
        <f t="shared" si="12"/>
        <v/>
      </c>
      <c r="P218" s="9" t="str">
        <f>IF(A218="","",O218-(I218*INDEX('Trade Log'!$P$5:$P$204,MATCH(A218,'Trade Log'!$A$5:$A$204,0))*100)-IFERROR(INDEX('Trade Log'!$Q$5:$Q$204,MATCH(A218,'Trade Log'!$A$5:$A$204,0))*I218/INDEX('Trade Log'!$O$5:$O$204,MATCH(A218,'Trade Log'!$A$5:$A$204,0)),0))</f>
        <v/>
      </c>
      <c r="Q218" s="12" t="str">
        <f>IFERROR(P218/(I218*INDEX('Trade Log'!$P$5:$P$204,MATCH(A218,'Trade Log'!$A$5:$A$204,0))*100+IFERROR(INDEX('Trade Log'!$Q$5:$Q$204,MATCH(A218,'Trade Log'!$A$5:$A$204,0))*I218/INDEX('Trade Log'!$O$5:$O$204,MATCH(A218,'Trade Log'!$A$5:$A$204,0)),0)),"")</f>
        <v/>
      </c>
      <c r="R218" s="10"/>
    </row>
    <row r="219" spans="1:18">
      <c r="A219" s="2"/>
      <c r="B219" s="4" t="str">
        <f>IF(A219="","",COUNTIF($A$5:A219,A219))</f>
        <v/>
      </c>
      <c r="C219" s="3"/>
      <c r="D219" s="4" t="str">
        <f t="shared" si="10"/>
        <v/>
      </c>
      <c r="E219" s="5"/>
      <c r="F219" s="2"/>
      <c r="G219" s="4" t="str">
        <f>IFERROR(INDEX('Trade Log'!$F$5:$F$204,MATCH(A219,'Trade Log'!$A$5:$A$204,0)),"")</f>
        <v/>
      </c>
      <c r="H219" s="4" t="str">
        <f>IFERROR(INDEX('Trade Log'!$I$5:$I$204,MATCH(A219,'Trade Log'!$A$5:$A$204,0)),"")</f>
        <v/>
      </c>
      <c r="I219" s="7"/>
      <c r="J219" s="8"/>
      <c r="K219" s="8"/>
      <c r="L219" s="8"/>
      <c r="M219" s="2"/>
      <c r="N219" s="9" t="str">
        <f t="shared" si="11"/>
        <v/>
      </c>
      <c r="O219" s="9" t="str">
        <f t="shared" si="12"/>
        <v/>
      </c>
      <c r="P219" s="9" t="str">
        <f>IF(A219="","",O219-(I219*INDEX('Trade Log'!$P$5:$P$204,MATCH(A219,'Trade Log'!$A$5:$A$204,0))*100)-IFERROR(INDEX('Trade Log'!$Q$5:$Q$204,MATCH(A219,'Trade Log'!$A$5:$A$204,0))*I219/INDEX('Trade Log'!$O$5:$O$204,MATCH(A219,'Trade Log'!$A$5:$A$204,0)),0))</f>
        <v/>
      </c>
      <c r="Q219" s="12" t="str">
        <f>IFERROR(P219/(I219*INDEX('Trade Log'!$P$5:$P$204,MATCH(A219,'Trade Log'!$A$5:$A$204,0))*100+IFERROR(INDEX('Trade Log'!$Q$5:$Q$204,MATCH(A219,'Trade Log'!$A$5:$A$204,0))*I219/INDEX('Trade Log'!$O$5:$O$204,MATCH(A219,'Trade Log'!$A$5:$A$204,0)),0)),"")</f>
        <v/>
      </c>
      <c r="R219" s="10"/>
    </row>
    <row r="220" spans="1:18">
      <c r="A220" s="2"/>
      <c r="B220" s="4" t="str">
        <f>IF(A220="","",COUNTIF($A$5:A220,A220))</f>
        <v/>
      </c>
      <c r="C220" s="3"/>
      <c r="D220" s="4" t="str">
        <f t="shared" si="10"/>
        <v/>
      </c>
      <c r="E220" s="5"/>
      <c r="F220" s="2"/>
      <c r="G220" s="4" t="str">
        <f>IFERROR(INDEX('Trade Log'!$F$5:$F$204,MATCH(A220,'Trade Log'!$A$5:$A$204,0)),"")</f>
        <v/>
      </c>
      <c r="H220" s="4" t="str">
        <f>IFERROR(INDEX('Trade Log'!$I$5:$I$204,MATCH(A220,'Trade Log'!$A$5:$A$204,0)),"")</f>
        <v/>
      </c>
      <c r="I220" s="7"/>
      <c r="J220" s="8"/>
      <c r="K220" s="8"/>
      <c r="L220" s="8"/>
      <c r="M220" s="2"/>
      <c r="N220" s="9" t="str">
        <f t="shared" si="11"/>
        <v/>
      </c>
      <c r="O220" s="9" t="str">
        <f t="shared" si="12"/>
        <v/>
      </c>
      <c r="P220" s="9" t="str">
        <f>IF(A220="","",O220-(I220*INDEX('Trade Log'!$P$5:$P$204,MATCH(A220,'Trade Log'!$A$5:$A$204,0))*100)-IFERROR(INDEX('Trade Log'!$Q$5:$Q$204,MATCH(A220,'Trade Log'!$A$5:$A$204,0))*I220/INDEX('Trade Log'!$O$5:$O$204,MATCH(A220,'Trade Log'!$A$5:$A$204,0)),0))</f>
        <v/>
      </c>
      <c r="Q220" s="12" t="str">
        <f>IFERROR(P220/(I220*INDEX('Trade Log'!$P$5:$P$204,MATCH(A220,'Trade Log'!$A$5:$A$204,0))*100+IFERROR(INDEX('Trade Log'!$Q$5:$Q$204,MATCH(A220,'Trade Log'!$A$5:$A$204,0))*I220/INDEX('Trade Log'!$O$5:$O$204,MATCH(A220,'Trade Log'!$A$5:$A$204,0)),0)),"")</f>
        <v/>
      </c>
      <c r="R220" s="10"/>
    </row>
    <row r="221" spans="1:18">
      <c r="A221" s="2"/>
      <c r="B221" s="4" t="str">
        <f>IF(A221="","",COUNTIF($A$5:A221,A221))</f>
        <v/>
      </c>
      <c r="C221" s="3"/>
      <c r="D221" s="4" t="str">
        <f t="shared" si="10"/>
        <v/>
      </c>
      <c r="E221" s="5"/>
      <c r="F221" s="2"/>
      <c r="G221" s="4" t="str">
        <f>IFERROR(INDEX('Trade Log'!$F$5:$F$204,MATCH(A221,'Trade Log'!$A$5:$A$204,0)),"")</f>
        <v/>
      </c>
      <c r="H221" s="4" t="str">
        <f>IFERROR(INDEX('Trade Log'!$I$5:$I$204,MATCH(A221,'Trade Log'!$A$5:$A$204,0)),"")</f>
        <v/>
      </c>
      <c r="I221" s="7"/>
      <c r="J221" s="8"/>
      <c r="K221" s="8"/>
      <c r="L221" s="8"/>
      <c r="M221" s="2"/>
      <c r="N221" s="9" t="str">
        <f t="shared" si="11"/>
        <v/>
      </c>
      <c r="O221" s="9" t="str">
        <f t="shared" si="12"/>
        <v/>
      </c>
      <c r="P221" s="9" t="str">
        <f>IF(A221="","",O221-(I221*INDEX('Trade Log'!$P$5:$P$204,MATCH(A221,'Trade Log'!$A$5:$A$204,0))*100)-IFERROR(INDEX('Trade Log'!$Q$5:$Q$204,MATCH(A221,'Trade Log'!$A$5:$A$204,0))*I221/INDEX('Trade Log'!$O$5:$O$204,MATCH(A221,'Trade Log'!$A$5:$A$204,0)),0))</f>
        <v/>
      </c>
      <c r="Q221" s="12" t="str">
        <f>IFERROR(P221/(I221*INDEX('Trade Log'!$P$5:$P$204,MATCH(A221,'Trade Log'!$A$5:$A$204,0))*100+IFERROR(INDEX('Trade Log'!$Q$5:$Q$204,MATCH(A221,'Trade Log'!$A$5:$A$204,0))*I221/INDEX('Trade Log'!$O$5:$O$204,MATCH(A221,'Trade Log'!$A$5:$A$204,0)),0)),"")</f>
        <v/>
      </c>
      <c r="R221" s="10"/>
    </row>
    <row r="222" spans="1:18">
      <c r="A222" s="2"/>
      <c r="B222" s="4" t="str">
        <f>IF(A222="","",COUNTIF($A$5:A222,A222))</f>
        <v/>
      </c>
      <c r="C222" s="3"/>
      <c r="D222" s="4" t="str">
        <f t="shared" si="10"/>
        <v/>
      </c>
      <c r="E222" s="5"/>
      <c r="F222" s="2"/>
      <c r="G222" s="4" t="str">
        <f>IFERROR(INDEX('Trade Log'!$F$5:$F$204,MATCH(A222,'Trade Log'!$A$5:$A$204,0)),"")</f>
        <v/>
      </c>
      <c r="H222" s="4" t="str">
        <f>IFERROR(INDEX('Trade Log'!$I$5:$I$204,MATCH(A222,'Trade Log'!$A$5:$A$204,0)),"")</f>
        <v/>
      </c>
      <c r="I222" s="7"/>
      <c r="J222" s="8"/>
      <c r="K222" s="8"/>
      <c r="L222" s="8"/>
      <c r="M222" s="2"/>
      <c r="N222" s="9" t="str">
        <f t="shared" si="11"/>
        <v/>
      </c>
      <c r="O222" s="9" t="str">
        <f t="shared" si="12"/>
        <v/>
      </c>
      <c r="P222" s="9" t="str">
        <f>IF(A222="","",O222-(I222*INDEX('Trade Log'!$P$5:$P$204,MATCH(A222,'Trade Log'!$A$5:$A$204,0))*100)-IFERROR(INDEX('Trade Log'!$Q$5:$Q$204,MATCH(A222,'Trade Log'!$A$5:$A$204,0))*I222/INDEX('Trade Log'!$O$5:$O$204,MATCH(A222,'Trade Log'!$A$5:$A$204,0)),0))</f>
        <v/>
      </c>
      <c r="Q222" s="12" t="str">
        <f>IFERROR(P222/(I222*INDEX('Trade Log'!$P$5:$P$204,MATCH(A222,'Trade Log'!$A$5:$A$204,0))*100+IFERROR(INDEX('Trade Log'!$Q$5:$Q$204,MATCH(A222,'Trade Log'!$A$5:$A$204,0))*I222/INDEX('Trade Log'!$O$5:$O$204,MATCH(A222,'Trade Log'!$A$5:$A$204,0)),0)),"")</f>
        <v/>
      </c>
      <c r="R222" s="10"/>
    </row>
    <row r="223" spans="1:18">
      <c r="A223" s="2"/>
      <c r="B223" s="4" t="str">
        <f>IF(A223="","",COUNTIF($A$5:A223,A223))</f>
        <v/>
      </c>
      <c r="C223" s="3"/>
      <c r="D223" s="4" t="str">
        <f t="shared" si="10"/>
        <v/>
      </c>
      <c r="E223" s="5"/>
      <c r="F223" s="2"/>
      <c r="G223" s="4" t="str">
        <f>IFERROR(INDEX('Trade Log'!$F$5:$F$204,MATCH(A223,'Trade Log'!$A$5:$A$204,0)),"")</f>
        <v/>
      </c>
      <c r="H223" s="4" t="str">
        <f>IFERROR(INDEX('Trade Log'!$I$5:$I$204,MATCH(A223,'Trade Log'!$A$5:$A$204,0)),"")</f>
        <v/>
      </c>
      <c r="I223" s="7"/>
      <c r="J223" s="8"/>
      <c r="K223" s="8"/>
      <c r="L223" s="8"/>
      <c r="M223" s="2"/>
      <c r="N223" s="9" t="str">
        <f t="shared" si="11"/>
        <v/>
      </c>
      <c r="O223" s="9" t="str">
        <f t="shared" si="12"/>
        <v/>
      </c>
      <c r="P223" s="9" t="str">
        <f>IF(A223="","",O223-(I223*INDEX('Trade Log'!$P$5:$P$204,MATCH(A223,'Trade Log'!$A$5:$A$204,0))*100)-IFERROR(INDEX('Trade Log'!$Q$5:$Q$204,MATCH(A223,'Trade Log'!$A$5:$A$204,0))*I223/INDEX('Trade Log'!$O$5:$O$204,MATCH(A223,'Trade Log'!$A$5:$A$204,0)),0))</f>
        <v/>
      </c>
      <c r="Q223" s="12" t="str">
        <f>IFERROR(P223/(I223*INDEX('Trade Log'!$P$5:$P$204,MATCH(A223,'Trade Log'!$A$5:$A$204,0))*100+IFERROR(INDEX('Trade Log'!$Q$5:$Q$204,MATCH(A223,'Trade Log'!$A$5:$A$204,0))*I223/INDEX('Trade Log'!$O$5:$O$204,MATCH(A223,'Trade Log'!$A$5:$A$204,0)),0)),"")</f>
        <v/>
      </c>
      <c r="R223" s="10"/>
    </row>
    <row r="224" spans="1:18">
      <c r="A224" s="2"/>
      <c r="B224" s="4" t="str">
        <f>IF(A224="","",COUNTIF($A$5:A224,A224))</f>
        <v/>
      </c>
      <c r="C224" s="3"/>
      <c r="D224" s="4" t="str">
        <f t="shared" si="10"/>
        <v/>
      </c>
      <c r="E224" s="5"/>
      <c r="F224" s="2"/>
      <c r="G224" s="4" t="str">
        <f>IFERROR(INDEX('Trade Log'!$F$5:$F$204,MATCH(A224,'Trade Log'!$A$5:$A$204,0)),"")</f>
        <v/>
      </c>
      <c r="H224" s="4" t="str">
        <f>IFERROR(INDEX('Trade Log'!$I$5:$I$204,MATCH(A224,'Trade Log'!$A$5:$A$204,0)),"")</f>
        <v/>
      </c>
      <c r="I224" s="7"/>
      <c r="J224" s="8"/>
      <c r="K224" s="8"/>
      <c r="L224" s="8"/>
      <c r="M224" s="2"/>
      <c r="N224" s="9" t="str">
        <f t="shared" si="11"/>
        <v/>
      </c>
      <c r="O224" s="9" t="str">
        <f t="shared" si="12"/>
        <v/>
      </c>
      <c r="P224" s="9" t="str">
        <f>IF(A224="","",O224-(I224*INDEX('Trade Log'!$P$5:$P$204,MATCH(A224,'Trade Log'!$A$5:$A$204,0))*100)-IFERROR(INDEX('Trade Log'!$Q$5:$Q$204,MATCH(A224,'Trade Log'!$A$5:$A$204,0))*I224/INDEX('Trade Log'!$O$5:$O$204,MATCH(A224,'Trade Log'!$A$5:$A$204,0)),0))</f>
        <v/>
      </c>
      <c r="Q224" s="12" t="str">
        <f>IFERROR(P224/(I224*INDEX('Trade Log'!$P$5:$P$204,MATCH(A224,'Trade Log'!$A$5:$A$204,0))*100+IFERROR(INDEX('Trade Log'!$Q$5:$Q$204,MATCH(A224,'Trade Log'!$A$5:$A$204,0))*I224/INDEX('Trade Log'!$O$5:$O$204,MATCH(A224,'Trade Log'!$A$5:$A$204,0)),0)),"")</f>
        <v/>
      </c>
      <c r="R224" s="10"/>
    </row>
    <row r="225" spans="1:18">
      <c r="A225" s="2"/>
      <c r="B225" s="4" t="str">
        <f>IF(A225="","",COUNTIF($A$5:A225,A225))</f>
        <v/>
      </c>
      <c r="C225" s="3"/>
      <c r="D225" s="4" t="str">
        <f t="shared" si="10"/>
        <v/>
      </c>
      <c r="E225" s="5"/>
      <c r="F225" s="2"/>
      <c r="G225" s="4" t="str">
        <f>IFERROR(INDEX('Trade Log'!$F$5:$F$204,MATCH(A225,'Trade Log'!$A$5:$A$204,0)),"")</f>
        <v/>
      </c>
      <c r="H225" s="4" t="str">
        <f>IFERROR(INDEX('Trade Log'!$I$5:$I$204,MATCH(A225,'Trade Log'!$A$5:$A$204,0)),"")</f>
        <v/>
      </c>
      <c r="I225" s="7"/>
      <c r="J225" s="8"/>
      <c r="K225" s="8"/>
      <c r="L225" s="8"/>
      <c r="M225" s="2"/>
      <c r="N225" s="9" t="str">
        <f t="shared" si="11"/>
        <v/>
      </c>
      <c r="O225" s="9" t="str">
        <f t="shared" si="12"/>
        <v/>
      </c>
      <c r="P225" s="9" t="str">
        <f>IF(A225="","",O225-(I225*INDEX('Trade Log'!$P$5:$P$204,MATCH(A225,'Trade Log'!$A$5:$A$204,0))*100)-IFERROR(INDEX('Trade Log'!$Q$5:$Q$204,MATCH(A225,'Trade Log'!$A$5:$A$204,0))*I225/INDEX('Trade Log'!$O$5:$O$204,MATCH(A225,'Trade Log'!$A$5:$A$204,0)),0))</f>
        <v/>
      </c>
      <c r="Q225" s="12" t="str">
        <f>IFERROR(P225/(I225*INDEX('Trade Log'!$P$5:$P$204,MATCH(A225,'Trade Log'!$A$5:$A$204,0))*100+IFERROR(INDEX('Trade Log'!$Q$5:$Q$204,MATCH(A225,'Trade Log'!$A$5:$A$204,0))*I225/INDEX('Trade Log'!$O$5:$O$204,MATCH(A225,'Trade Log'!$A$5:$A$204,0)),0)),"")</f>
        <v/>
      </c>
      <c r="R225" s="10"/>
    </row>
    <row r="226" spans="1:18">
      <c r="A226" s="2"/>
      <c r="B226" s="4" t="str">
        <f>IF(A226="","",COUNTIF($A$5:A226,A226))</f>
        <v/>
      </c>
      <c r="C226" s="3"/>
      <c r="D226" s="4" t="str">
        <f t="shared" si="10"/>
        <v/>
      </c>
      <c r="E226" s="5"/>
      <c r="F226" s="2"/>
      <c r="G226" s="4" t="str">
        <f>IFERROR(INDEX('Trade Log'!$F$5:$F$204,MATCH(A226,'Trade Log'!$A$5:$A$204,0)),"")</f>
        <v/>
      </c>
      <c r="H226" s="4" t="str">
        <f>IFERROR(INDEX('Trade Log'!$I$5:$I$204,MATCH(A226,'Trade Log'!$A$5:$A$204,0)),"")</f>
        <v/>
      </c>
      <c r="I226" s="7"/>
      <c r="J226" s="8"/>
      <c r="K226" s="8"/>
      <c r="L226" s="8"/>
      <c r="M226" s="2"/>
      <c r="N226" s="9" t="str">
        <f t="shared" si="11"/>
        <v/>
      </c>
      <c r="O226" s="9" t="str">
        <f t="shared" si="12"/>
        <v/>
      </c>
      <c r="P226" s="9" t="str">
        <f>IF(A226="","",O226-(I226*INDEX('Trade Log'!$P$5:$P$204,MATCH(A226,'Trade Log'!$A$5:$A$204,0))*100)-IFERROR(INDEX('Trade Log'!$Q$5:$Q$204,MATCH(A226,'Trade Log'!$A$5:$A$204,0))*I226/INDEX('Trade Log'!$O$5:$O$204,MATCH(A226,'Trade Log'!$A$5:$A$204,0)),0))</f>
        <v/>
      </c>
      <c r="Q226" s="12" t="str">
        <f>IFERROR(P226/(I226*INDEX('Trade Log'!$P$5:$P$204,MATCH(A226,'Trade Log'!$A$5:$A$204,0))*100+IFERROR(INDEX('Trade Log'!$Q$5:$Q$204,MATCH(A226,'Trade Log'!$A$5:$A$204,0))*I226/INDEX('Trade Log'!$O$5:$O$204,MATCH(A226,'Trade Log'!$A$5:$A$204,0)),0)),"")</f>
        <v/>
      </c>
      <c r="R226" s="10"/>
    </row>
    <row r="227" spans="1:18">
      <c r="A227" s="2"/>
      <c r="B227" s="4" t="str">
        <f>IF(A227="","",COUNTIF($A$5:A227,A227))</f>
        <v/>
      </c>
      <c r="C227" s="3"/>
      <c r="D227" s="4" t="str">
        <f t="shared" si="10"/>
        <v/>
      </c>
      <c r="E227" s="5"/>
      <c r="F227" s="2"/>
      <c r="G227" s="4" t="str">
        <f>IFERROR(INDEX('Trade Log'!$F$5:$F$204,MATCH(A227,'Trade Log'!$A$5:$A$204,0)),"")</f>
        <v/>
      </c>
      <c r="H227" s="4" t="str">
        <f>IFERROR(INDEX('Trade Log'!$I$5:$I$204,MATCH(A227,'Trade Log'!$A$5:$A$204,0)),"")</f>
        <v/>
      </c>
      <c r="I227" s="7"/>
      <c r="J227" s="8"/>
      <c r="K227" s="8"/>
      <c r="L227" s="8"/>
      <c r="M227" s="2"/>
      <c r="N227" s="9" t="str">
        <f t="shared" si="11"/>
        <v/>
      </c>
      <c r="O227" s="9" t="str">
        <f t="shared" si="12"/>
        <v/>
      </c>
      <c r="P227" s="9" t="str">
        <f>IF(A227="","",O227-(I227*INDEX('Trade Log'!$P$5:$P$204,MATCH(A227,'Trade Log'!$A$5:$A$204,0))*100)-IFERROR(INDEX('Trade Log'!$Q$5:$Q$204,MATCH(A227,'Trade Log'!$A$5:$A$204,0))*I227/INDEX('Trade Log'!$O$5:$O$204,MATCH(A227,'Trade Log'!$A$5:$A$204,0)),0))</f>
        <v/>
      </c>
      <c r="Q227" s="12" t="str">
        <f>IFERROR(P227/(I227*INDEX('Trade Log'!$P$5:$P$204,MATCH(A227,'Trade Log'!$A$5:$A$204,0))*100+IFERROR(INDEX('Trade Log'!$Q$5:$Q$204,MATCH(A227,'Trade Log'!$A$5:$A$204,0))*I227/INDEX('Trade Log'!$O$5:$O$204,MATCH(A227,'Trade Log'!$A$5:$A$204,0)),0)),"")</f>
        <v/>
      </c>
      <c r="R227" s="10"/>
    </row>
    <row r="228" spans="1:18">
      <c r="A228" s="2"/>
      <c r="B228" s="4" t="str">
        <f>IF(A228="","",COUNTIF($A$5:A228,A228))</f>
        <v/>
      </c>
      <c r="C228" s="3"/>
      <c r="D228" s="4" t="str">
        <f t="shared" si="10"/>
        <v/>
      </c>
      <c r="E228" s="5"/>
      <c r="F228" s="2"/>
      <c r="G228" s="4" t="str">
        <f>IFERROR(INDEX('Trade Log'!$F$5:$F$204,MATCH(A228,'Trade Log'!$A$5:$A$204,0)),"")</f>
        <v/>
      </c>
      <c r="H228" s="4" t="str">
        <f>IFERROR(INDEX('Trade Log'!$I$5:$I$204,MATCH(A228,'Trade Log'!$A$5:$A$204,0)),"")</f>
        <v/>
      </c>
      <c r="I228" s="7"/>
      <c r="J228" s="8"/>
      <c r="K228" s="8"/>
      <c r="L228" s="8"/>
      <c r="M228" s="2"/>
      <c r="N228" s="9" t="str">
        <f t="shared" si="11"/>
        <v/>
      </c>
      <c r="O228" s="9" t="str">
        <f t="shared" si="12"/>
        <v/>
      </c>
      <c r="P228" s="9" t="str">
        <f>IF(A228="","",O228-(I228*INDEX('Trade Log'!$P$5:$P$204,MATCH(A228,'Trade Log'!$A$5:$A$204,0))*100)-IFERROR(INDEX('Trade Log'!$Q$5:$Q$204,MATCH(A228,'Trade Log'!$A$5:$A$204,0))*I228/INDEX('Trade Log'!$O$5:$O$204,MATCH(A228,'Trade Log'!$A$5:$A$204,0)),0))</f>
        <v/>
      </c>
      <c r="Q228" s="12" t="str">
        <f>IFERROR(P228/(I228*INDEX('Trade Log'!$P$5:$P$204,MATCH(A228,'Trade Log'!$A$5:$A$204,0))*100+IFERROR(INDEX('Trade Log'!$Q$5:$Q$204,MATCH(A228,'Trade Log'!$A$5:$A$204,0))*I228/INDEX('Trade Log'!$O$5:$O$204,MATCH(A228,'Trade Log'!$A$5:$A$204,0)),0)),"")</f>
        <v/>
      </c>
      <c r="R228" s="10"/>
    </row>
    <row r="229" spans="1:18">
      <c r="A229" s="2"/>
      <c r="B229" s="4" t="str">
        <f>IF(A229="","",COUNTIF($A$5:A229,A229))</f>
        <v/>
      </c>
      <c r="C229" s="3"/>
      <c r="D229" s="4" t="str">
        <f t="shared" si="10"/>
        <v/>
      </c>
      <c r="E229" s="5"/>
      <c r="F229" s="2"/>
      <c r="G229" s="4" t="str">
        <f>IFERROR(INDEX('Trade Log'!$F$5:$F$204,MATCH(A229,'Trade Log'!$A$5:$A$204,0)),"")</f>
        <v/>
      </c>
      <c r="H229" s="4" t="str">
        <f>IFERROR(INDEX('Trade Log'!$I$5:$I$204,MATCH(A229,'Trade Log'!$A$5:$A$204,0)),"")</f>
        <v/>
      </c>
      <c r="I229" s="7"/>
      <c r="J229" s="8"/>
      <c r="K229" s="8"/>
      <c r="L229" s="8"/>
      <c r="M229" s="2"/>
      <c r="N229" s="9" t="str">
        <f t="shared" si="11"/>
        <v/>
      </c>
      <c r="O229" s="9" t="str">
        <f t="shared" si="12"/>
        <v/>
      </c>
      <c r="P229" s="9" t="str">
        <f>IF(A229="","",O229-(I229*INDEX('Trade Log'!$P$5:$P$204,MATCH(A229,'Trade Log'!$A$5:$A$204,0))*100)-IFERROR(INDEX('Trade Log'!$Q$5:$Q$204,MATCH(A229,'Trade Log'!$A$5:$A$204,0))*I229/INDEX('Trade Log'!$O$5:$O$204,MATCH(A229,'Trade Log'!$A$5:$A$204,0)),0))</f>
        <v/>
      </c>
      <c r="Q229" s="12" t="str">
        <f>IFERROR(P229/(I229*INDEX('Trade Log'!$P$5:$P$204,MATCH(A229,'Trade Log'!$A$5:$A$204,0))*100+IFERROR(INDEX('Trade Log'!$Q$5:$Q$204,MATCH(A229,'Trade Log'!$A$5:$A$204,0))*I229/INDEX('Trade Log'!$O$5:$O$204,MATCH(A229,'Trade Log'!$A$5:$A$204,0)),0)),"")</f>
        <v/>
      </c>
      <c r="R229" s="10"/>
    </row>
    <row r="230" spans="1:18">
      <c r="A230" s="2"/>
      <c r="B230" s="4" t="str">
        <f>IF(A230="","",COUNTIF($A$5:A230,A230))</f>
        <v/>
      </c>
      <c r="C230" s="3"/>
      <c r="D230" s="4" t="str">
        <f t="shared" si="10"/>
        <v/>
      </c>
      <c r="E230" s="5"/>
      <c r="F230" s="2"/>
      <c r="G230" s="4" t="str">
        <f>IFERROR(INDEX('Trade Log'!$F$5:$F$204,MATCH(A230,'Trade Log'!$A$5:$A$204,0)),"")</f>
        <v/>
      </c>
      <c r="H230" s="4" t="str">
        <f>IFERROR(INDEX('Trade Log'!$I$5:$I$204,MATCH(A230,'Trade Log'!$A$5:$A$204,0)),"")</f>
        <v/>
      </c>
      <c r="I230" s="7"/>
      <c r="J230" s="8"/>
      <c r="K230" s="8"/>
      <c r="L230" s="8"/>
      <c r="M230" s="2"/>
      <c r="N230" s="9" t="str">
        <f t="shared" si="11"/>
        <v/>
      </c>
      <c r="O230" s="9" t="str">
        <f t="shared" si="12"/>
        <v/>
      </c>
      <c r="P230" s="9" t="str">
        <f>IF(A230="","",O230-(I230*INDEX('Trade Log'!$P$5:$P$204,MATCH(A230,'Trade Log'!$A$5:$A$204,0))*100)-IFERROR(INDEX('Trade Log'!$Q$5:$Q$204,MATCH(A230,'Trade Log'!$A$5:$A$204,0))*I230/INDEX('Trade Log'!$O$5:$O$204,MATCH(A230,'Trade Log'!$A$5:$A$204,0)),0))</f>
        <v/>
      </c>
      <c r="Q230" s="12" t="str">
        <f>IFERROR(P230/(I230*INDEX('Trade Log'!$P$5:$P$204,MATCH(A230,'Trade Log'!$A$5:$A$204,0))*100+IFERROR(INDEX('Trade Log'!$Q$5:$Q$204,MATCH(A230,'Trade Log'!$A$5:$A$204,0))*I230/INDEX('Trade Log'!$O$5:$O$204,MATCH(A230,'Trade Log'!$A$5:$A$204,0)),0)),"")</f>
        <v/>
      </c>
      <c r="R230" s="10"/>
    </row>
    <row r="231" spans="1:18">
      <c r="A231" s="2"/>
      <c r="B231" s="4" t="str">
        <f>IF(A231="","",COUNTIF($A$5:A231,A231))</f>
        <v/>
      </c>
      <c r="C231" s="3"/>
      <c r="D231" s="4" t="str">
        <f t="shared" si="10"/>
        <v/>
      </c>
      <c r="E231" s="5"/>
      <c r="F231" s="2"/>
      <c r="G231" s="4" t="str">
        <f>IFERROR(INDEX('Trade Log'!$F$5:$F$204,MATCH(A231,'Trade Log'!$A$5:$A$204,0)),"")</f>
        <v/>
      </c>
      <c r="H231" s="4" t="str">
        <f>IFERROR(INDEX('Trade Log'!$I$5:$I$204,MATCH(A231,'Trade Log'!$A$5:$A$204,0)),"")</f>
        <v/>
      </c>
      <c r="I231" s="7"/>
      <c r="J231" s="8"/>
      <c r="K231" s="8"/>
      <c r="L231" s="8"/>
      <c r="M231" s="2"/>
      <c r="N231" s="9" t="str">
        <f t="shared" si="11"/>
        <v/>
      </c>
      <c r="O231" s="9" t="str">
        <f t="shared" si="12"/>
        <v/>
      </c>
      <c r="P231" s="9" t="str">
        <f>IF(A231="","",O231-(I231*INDEX('Trade Log'!$P$5:$P$204,MATCH(A231,'Trade Log'!$A$5:$A$204,0))*100)-IFERROR(INDEX('Trade Log'!$Q$5:$Q$204,MATCH(A231,'Trade Log'!$A$5:$A$204,0))*I231/INDEX('Trade Log'!$O$5:$O$204,MATCH(A231,'Trade Log'!$A$5:$A$204,0)),0))</f>
        <v/>
      </c>
      <c r="Q231" s="12" t="str">
        <f>IFERROR(P231/(I231*INDEX('Trade Log'!$P$5:$P$204,MATCH(A231,'Trade Log'!$A$5:$A$204,0))*100+IFERROR(INDEX('Trade Log'!$Q$5:$Q$204,MATCH(A231,'Trade Log'!$A$5:$A$204,0))*I231/INDEX('Trade Log'!$O$5:$O$204,MATCH(A231,'Trade Log'!$A$5:$A$204,0)),0)),"")</f>
        <v/>
      </c>
      <c r="R231" s="10"/>
    </row>
    <row r="232" spans="1:18">
      <c r="A232" s="2"/>
      <c r="B232" s="4" t="str">
        <f>IF(A232="","",COUNTIF($A$5:A232,A232))</f>
        <v/>
      </c>
      <c r="C232" s="3"/>
      <c r="D232" s="4" t="str">
        <f t="shared" si="10"/>
        <v/>
      </c>
      <c r="E232" s="5"/>
      <c r="F232" s="2"/>
      <c r="G232" s="4" t="str">
        <f>IFERROR(INDEX('Trade Log'!$F$5:$F$204,MATCH(A232,'Trade Log'!$A$5:$A$204,0)),"")</f>
        <v/>
      </c>
      <c r="H232" s="4" t="str">
        <f>IFERROR(INDEX('Trade Log'!$I$5:$I$204,MATCH(A232,'Trade Log'!$A$5:$A$204,0)),"")</f>
        <v/>
      </c>
      <c r="I232" s="7"/>
      <c r="J232" s="8"/>
      <c r="K232" s="8"/>
      <c r="L232" s="8"/>
      <c r="M232" s="2"/>
      <c r="N232" s="9" t="str">
        <f t="shared" si="11"/>
        <v/>
      </c>
      <c r="O232" s="9" t="str">
        <f t="shared" si="12"/>
        <v/>
      </c>
      <c r="P232" s="9" t="str">
        <f>IF(A232="","",O232-(I232*INDEX('Trade Log'!$P$5:$P$204,MATCH(A232,'Trade Log'!$A$5:$A$204,0))*100)-IFERROR(INDEX('Trade Log'!$Q$5:$Q$204,MATCH(A232,'Trade Log'!$A$5:$A$204,0))*I232/INDEX('Trade Log'!$O$5:$O$204,MATCH(A232,'Trade Log'!$A$5:$A$204,0)),0))</f>
        <v/>
      </c>
      <c r="Q232" s="12" t="str">
        <f>IFERROR(P232/(I232*INDEX('Trade Log'!$P$5:$P$204,MATCH(A232,'Trade Log'!$A$5:$A$204,0))*100+IFERROR(INDEX('Trade Log'!$Q$5:$Q$204,MATCH(A232,'Trade Log'!$A$5:$A$204,0))*I232/INDEX('Trade Log'!$O$5:$O$204,MATCH(A232,'Trade Log'!$A$5:$A$204,0)),0)),"")</f>
        <v/>
      </c>
      <c r="R232" s="10"/>
    </row>
    <row r="233" spans="1:18">
      <c r="A233" s="2"/>
      <c r="B233" s="4" t="str">
        <f>IF(A233="","",COUNTIF($A$5:A233,A233))</f>
        <v/>
      </c>
      <c r="C233" s="3"/>
      <c r="D233" s="4" t="str">
        <f t="shared" si="10"/>
        <v/>
      </c>
      <c r="E233" s="5"/>
      <c r="F233" s="2"/>
      <c r="G233" s="4" t="str">
        <f>IFERROR(INDEX('Trade Log'!$F$5:$F$204,MATCH(A233,'Trade Log'!$A$5:$A$204,0)),"")</f>
        <v/>
      </c>
      <c r="H233" s="4" t="str">
        <f>IFERROR(INDEX('Trade Log'!$I$5:$I$204,MATCH(A233,'Trade Log'!$A$5:$A$204,0)),"")</f>
        <v/>
      </c>
      <c r="I233" s="7"/>
      <c r="J233" s="8"/>
      <c r="K233" s="8"/>
      <c r="L233" s="8"/>
      <c r="M233" s="2"/>
      <c r="N233" s="9" t="str">
        <f t="shared" si="11"/>
        <v/>
      </c>
      <c r="O233" s="9" t="str">
        <f t="shared" si="12"/>
        <v/>
      </c>
      <c r="P233" s="9" t="str">
        <f>IF(A233="","",O233-(I233*INDEX('Trade Log'!$P$5:$P$204,MATCH(A233,'Trade Log'!$A$5:$A$204,0))*100)-IFERROR(INDEX('Trade Log'!$Q$5:$Q$204,MATCH(A233,'Trade Log'!$A$5:$A$204,0))*I233/INDEX('Trade Log'!$O$5:$O$204,MATCH(A233,'Trade Log'!$A$5:$A$204,0)),0))</f>
        <v/>
      </c>
      <c r="Q233" s="12" t="str">
        <f>IFERROR(P233/(I233*INDEX('Trade Log'!$P$5:$P$204,MATCH(A233,'Trade Log'!$A$5:$A$204,0))*100+IFERROR(INDEX('Trade Log'!$Q$5:$Q$204,MATCH(A233,'Trade Log'!$A$5:$A$204,0))*I233/INDEX('Trade Log'!$O$5:$O$204,MATCH(A233,'Trade Log'!$A$5:$A$204,0)),0)),"")</f>
        <v/>
      </c>
      <c r="R233" s="10"/>
    </row>
    <row r="234" spans="1:18">
      <c r="A234" s="2"/>
      <c r="B234" s="4" t="str">
        <f>IF(A234="","",COUNTIF($A$5:A234,A234))</f>
        <v/>
      </c>
      <c r="C234" s="3"/>
      <c r="D234" s="4" t="str">
        <f t="shared" si="10"/>
        <v/>
      </c>
      <c r="E234" s="5"/>
      <c r="F234" s="2"/>
      <c r="G234" s="4" t="str">
        <f>IFERROR(INDEX('Trade Log'!$F$5:$F$204,MATCH(A234,'Trade Log'!$A$5:$A$204,0)),"")</f>
        <v/>
      </c>
      <c r="H234" s="4" t="str">
        <f>IFERROR(INDEX('Trade Log'!$I$5:$I$204,MATCH(A234,'Trade Log'!$A$5:$A$204,0)),"")</f>
        <v/>
      </c>
      <c r="I234" s="7"/>
      <c r="J234" s="8"/>
      <c r="K234" s="8"/>
      <c r="L234" s="8"/>
      <c r="M234" s="2"/>
      <c r="N234" s="9" t="str">
        <f t="shared" si="11"/>
        <v/>
      </c>
      <c r="O234" s="9" t="str">
        <f t="shared" si="12"/>
        <v/>
      </c>
      <c r="P234" s="9" t="str">
        <f>IF(A234="","",O234-(I234*INDEX('Trade Log'!$P$5:$P$204,MATCH(A234,'Trade Log'!$A$5:$A$204,0))*100)-IFERROR(INDEX('Trade Log'!$Q$5:$Q$204,MATCH(A234,'Trade Log'!$A$5:$A$204,0))*I234/INDEX('Trade Log'!$O$5:$O$204,MATCH(A234,'Trade Log'!$A$5:$A$204,0)),0))</f>
        <v/>
      </c>
      <c r="Q234" s="12" t="str">
        <f>IFERROR(P234/(I234*INDEX('Trade Log'!$P$5:$P$204,MATCH(A234,'Trade Log'!$A$5:$A$204,0))*100+IFERROR(INDEX('Trade Log'!$Q$5:$Q$204,MATCH(A234,'Trade Log'!$A$5:$A$204,0))*I234/INDEX('Trade Log'!$O$5:$O$204,MATCH(A234,'Trade Log'!$A$5:$A$204,0)),0)),"")</f>
        <v/>
      </c>
      <c r="R234" s="10"/>
    </row>
    <row r="235" spans="1:18">
      <c r="A235" s="2"/>
      <c r="B235" s="4" t="str">
        <f>IF(A235="","",COUNTIF($A$5:A235,A235))</f>
        <v/>
      </c>
      <c r="C235" s="3"/>
      <c r="D235" s="4" t="str">
        <f t="shared" si="10"/>
        <v/>
      </c>
      <c r="E235" s="5"/>
      <c r="F235" s="2"/>
      <c r="G235" s="4" t="str">
        <f>IFERROR(INDEX('Trade Log'!$F$5:$F$204,MATCH(A235,'Trade Log'!$A$5:$A$204,0)),"")</f>
        <v/>
      </c>
      <c r="H235" s="4" t="str">
        <f>IFERROR(INDEX('Trade Log'!$I$5:$I$204,MATCH(A235,'Trade Log'!$A$5:$A$204,0)),"")</f>
        <v/>
      </c>
      <c r="I235" s="7"/>
      <c r="J235" s="8"/>
      <c r="K235" s="8"/>
      <c r="L235" s="8"/>
      <c r="M235" s="2"/>
      <c r="N235" s="9" t="str">
        <f t="shared" si="11"/>
        <v/>
      </c>
      <c r="O235" s="9" t="str">
        <f t="shared" si="12"/>
        <v/>
      </c>
      <c r="P235" s="9" t="str">
        <f>IF(A235="","",O235-(I235*INDEX('Trade Log'!$P$5:$P$204,MATCH(A235,'Trade Log'!$A$5:$A$204,0))*100)-IFERROR(INDEX('Trade Log'!$Q$5:$Q$204,MATCH(A235,'Trade Log'!$A$5:$A$204,0))*I235/INDEX('Trade Log'!$O$5:$O$204,MATCH(A235,'Trade Log'!$A$5:$A$204,0)),0))</f>
        <v/>
      </c>
      <c r="Q235" s="12" t="str">
        <f>IFERROR(P235/(I235*INDEX('Trade Log'!$P$5:$P$204,MATCH(A235,'Trade Log'!$A$5:$A$204,0))*100+IFERROR(INDEX('Trade Log'!$Q$5:$Q$204,MATCH(A235,'Trade Log'!$A$5:$A$204,0))*I235/INDEX('Trade Log'!$O$5:$O$204,MATCH(A235,'Trade Log'!$A$5:$A$204,0)),0)),"")</f>
        <v/>
      </c>
      <c r="R235" s="10"/>
    </row>
    <row r="236" spans="1:18">
      <c r="A236" s="2"/>
      <c r="B236" s="4" t="str">
        <f>IF(A236="","",COUNTIF($A$5:A236,A236))</f>
        <v/>
      </c>
      <c r="C236" s="3"/>
      <c r="D236" s="4" t="str">
        <f t="shared" si="10"/>
        <v/>
      </c>
      <c r="E236" s="5"/>
      <c r="F236" s="2"/>
      <c r="G236" s="4" t="str">
        <f>IFERROR(INDEX('Trade Log'!$F$5:$F$204,MATCH(A236,'Trade Log'!$A$5:$A$204,0)),"")</f>
        <v/>
      </c>
      <c r="H236" s="4" t="str">
        <f>IFERROR(INDEX('Trade Log'!$I$5:$I$204,MATCH(A236,'Trade Log'!$A$5:$A$204,0)),"")</f>
        <v/>
      </c>
      <c r="I236" s="7"/>
      <c r="J236" s="8"/>
      <c r="K236" s="8"/>
      <c r="L236" s="8"/>
      <c r="M236" s="2"/>
      <c r="N236" s="9" t="str">
        <f t="shared" si="11"/>
        <v/>
      </c>
      <c r="O236" s="9" t="str">
        <f t="shared" si="12"/>
        <v/>
      </c>
      <c r="P236" s="9" t="str">
        <f>IF(A236="","",O236-(I236*INDEX('Trade Log'!$P$5:$P$204,MATCH(A236,'Trade Log'!$A$5:$A$204,0))*100)-IFERROR(INDEX('Trade Log'!$Q$5:$Q$204,MATCH(A236,'Trade Log'!$A$5:$A$204,0))*I236/INDEX('Trade Log'!$O$5:$O$204,MATCH(A236,'Trade Log'!$A$5:$A$204,0)),0))</f>
        <v/>
      </c>
      <c r="Q236" s="12" t="str">
        <f>IFERROR(P236/(I236*INDEX('Trade Log'!$P$5:$P$204,MATCH(A236,'Trade Log'!$A$5:$A$204,0))*100+IFERROR(INDEX('Trade Log'!$Q$5:$Q$204,MATCH(A236,'Trade Log'!$A$5:$A$204,0))*I236/INDEX('Trade Log'!$O$5:$O$204,MATCH(A236,'Trade Log'!$A$5:$A$204,0)),0)),"")</f>
        <v/>
      </c>
      <c r="R236" s="10"/>
    </row>
    <row r="237" spans="1:18">
      <c r="A237" s="2"/>
      <c r="B237" s="4" t="str">
        <f>IF(A237="","",COUNTIF($A$5:A237,A237))</f>
        <v/>
      </c>
      <c r="C237" s="3"/>
      <c r="D237" s="4" t="str">
        <f t="shared" si="10"/>
        <v/>
      </c>
      <c r="E237" s="5"/>
      <c r="F237" s="2"/>
      <c r="G237" s="4" t="str">
        <f>IFERROR(INDEX('Trade Log'!$F$5:$F$204,MATCH(A237,'Trade Log'!$A$5:$A$204,0)),"")</f>
        <v/>
      </c>
      <c r="H237" s="4" t="str">
        <f>IFERROR(INDEX('Trade Log'!$I$5:$I$204,MATCH(A237,'Trade Log'!$A$5:$A$204,0)),"")</f>
        <v/>
      </c>
      <c r="I237" s="7"/>
      <c r="J237" s="8"/>
      <c r="K237" s="8"/>
      <c r="L237" s="8"/>
      <c r="M237" s="2"/>
      <c r="N237" s="9" t="str">
        <f t="shared" si="11"/>
        <v/>
      </c>
      <c r="O237" s="9" t="str">
        <f t="shared" si="12"/>
        <v/>
      </c>
      <c r="P237" s="9" t="str">
        <f>IF(A237="","",O237-(I237*INDEX('Trade Log'!$P$5:$P$204,MATCH(A237,'Trade Log'!$A$5:$A$204,0))*100)-IFERROR(INDEX('Trade Log'!$Q$5:$Q$204,MATCH(A237,'Trade Log'!$A$5:$A$204,0))*I237/INDEX('Trade Log'!$O$5:$O$204,MATCH(A237,'Trade Log'!$A$5:$A$204,0)),0))</f>
        <v/>
      </c>
      <c r="Q237" s="12" t="str">
        <f>IFERROR(P237/(I237*INDEX('Trade Log'!$P$5:$P$204,MATCH(A237,'Trade Log'!$A$5:$A$204,0))*100+IFERROR(INDEX('Trade Log'!$Q$5:$Q$204,MATCH(A237,'Trade Log'!$A$5:$A$204,0))*I237/INDEX('Trade Log'!$O$5:$O$204,MATCH(A237,'Trade Log'!$A$5:$A$204,0)),0)),"")</f>
        <v/>
      </c>
      <c r="R237" s="10"/>
    </row>
    <row r="238" spans="1:18">
      <c r="A238" s="2"/>
      <c r="B238" s="4" t="str">
        <f>IF(A238="","",COUNTIF($A$5:A238,A238))</f>
        <v/>
      </c>
      <c r="C238" s="3"/>
      <c r="D238" s="4" t="str">
        <f t="shared" si="10"/>
        <v/>
      </c>
      <c r="E238" s="5"/>
      <c r="F238" s="2"/>
      <c r="G238" s="4" t="str">
        <f>IFERROR(INDEX('Trade Log'!$F$5:$F$204,MATCH(A238,'Trade Log'!$A$5:$A$204,0)),"")</f>
        <v/>
      </c>
      <c r="H238" s="4" t="str">
        <f>IFERROR(INDEX('Trade Log'!$I$5:$I$204,MATCH(A238,'Trade Log'!$A$5:$A$204,0)),"")</f>
        <v/>
      </c>
      <c r="I238" s="7"/>
      <c r="J238" s="8"/>
      <c r="K238" s="8"/>
      <c r="L238" s="8"/>
      <c r="M238" s="2"/>
      <c r="N238" s="9" t="str">
        <f t="shared" si="11"/>
        <v/>
      </c>
      <c r="O238" s="9" t="str">
        <f t="shared" si="12"/>
        <v/>
      </c>
      <c r="P238" s="9" t="str">
        <f>IF(A238="","",O238-(I238*INDEX('Trade Log'!$P$5:$P$204,MATCH(A238,'Trade Log'!$A$5:$A$204,0))*100)-IFERROR(INDEX('Trade Log'!$Q$5:$Q$204,MATCH(A238,'Trade Log'!$A$5:$A$204,0))*I238/INDEX('Trade Log'!$O$5:$O$204,MATCH(A238,'Trade Log'!$A$5:$A$204,0)),0))</f>
        <v/>
      </c>
      <c r="Q238" s="12" t="str">
        <f>IFERROR(P238/(I238*INDEX('Trade Log'!$P$5:$P$204,MATCH(A238,'Trade Log'!$A$5:$A$204,0))*100+IFERROR(INDEX('Trade Log'!$Q$5:$Q$204,MATCH(A238,'Trade Log'!$A$5:$A$204,0))*I238/INDEX('Trade Log'!$O$5:$O$204,MATCH(A238,'Trade Log'!$A$5:$A$204,0)),0)),"")</f>
        <v/>
      </c>
      <c r="R238" s="10"/>
    </row>
    <row r="239" spans="1:18">
      <c r="A239" s="2"/>
      <c r="B239" s="4" t="str">
        <f>IF(A239="","",COUNTIF($A$5:A239,A239))</f>
        <v/>
      </c>
      <c r="C239" s="3"/>
      <c r="D239" s="4" t="str">
        <f t="shared" si="10"/>
        <v/>
      </c>
      <c r="E239" s="5"/>
      <c r="F239" s="2"/>
      <c r="G239" s="4" t="str">
        <f>IFERROR(INDEX('Trade Log'!$F$5:$F$204,MATCH(A239,'Trade Log'!$A$5:$A$204,0)),"")</f>
        <v/>
      </c>
      <c r="H239" s="4" t="str">
        <f>IFERROR(INDEX('Trade Log'!$I$5:$I$204,MATCH(A239,'Trade Log'!$A$5:$A$204,0)),"")</f>
        <v/>
      </c>
      <c r="I239" s="7"/>
      <c r="J239" s="8"/>
      <c r="K239" s="8"/>
      <c r="L239" s="8"/>
      <c r="M239" s="2"/>
      <c r="N239" s="9" t="str">
        <f t="shared" si="11"/>
        <v/>
      </c>
      <c r="O239" s="9" t="str">
        <f t="shared" si="12"/>
        <v/>
      </c>
      <c r="P239" s="9" t="str">
        <f>IF(A239="","",O239-(I239*INDEX('Trade Log'!$P$5:$P$204,MATCH(A239,'Trade Log'!$A$5:$A$204,0))*100)-IFERROR(INDEX('Trade Log'!$Q$5:$Q$204,MATCH(A239,'Trade Log'!$A$5:$A$204,0))*I239/INDEX('Trade Log'!$O$5:$O$204,MATCH(A239,'Trade Log'!$A$5:$A$204,0)),0))</f>
        <v/>
      </c>
      <c r="Q239" s="12" t="str">
        <f>IFERROR(P239/(I239*INDEX('Trade Log'!$P$5:$P$204,MATCH(A239,'Trade Log'!$A$5:$A$204,0))*100+IFERROR(INDEX('Trade Log'!$Q$5:$Q$204,MATCH(A239,'Trade Log'!$A$5:$A$204,0))*I239/INDEX('Trade Log'!$O$5:$O$204,MATCH(A239,'Trade Log'!$A$5:$A$204,0)),0)),"")</f>
        <v/>
      </c>
      <c r="R239" s="10"/>
    </row>
    <row r="240" spans="1:18">
      <c r="A240" s="2"/>
      <c r="B240" s="4" t="str">
        <f>IF(A240="","",COUNTIF($A$5:A240,A240))</f>
        <v/>
      </c>
      <c r="C240" s="3"/>
      <c r="D240" s="4" t="str">
        <f t="shared" si="10"/>
        <v/>
      </c>
      <c r="E240" s="5"/>
      <c r="F240" s="2"/>
      <c r="G240" s="4" t="str">
        <f>IFERROR(INDEX('Trade Log'!$F$5:$F$204,MATCH(A240,'Trade Log'!$A$5:$A$204,0)),"")</f>
        <v/>
      </c>
      <c r="H240" s="4" t="str">
        <f>IFERROR(INDEX('Trade Log'!$I$5:$I$204,MATCH(A240,'Trade Log'!$A$5:$A$204,0)),"")</f>
        <v/>
      </c>
      <c r="I240" s="7"/>
      <c r="J240" s="8"/>
      <c r="K240" s="8"/>
      <c r="L240" s="8"/>
      <c r="M240" s="2"/>
      <c r="N240" s="9" t="str">
        <f t="shared" si="11"/>
        <v/>
      </c>
      <c r="O240" s="9" t="str">
        <f t="shared" si="12"/>
        <v/>
      </c>
      <c r="P240" s="9" t="str">
        <f>IF(A240="","",O240-(I240*INDEX('Trade Log'!$P$5:$P$204,MATCH(A240,'Trade Log'!$A$5:$A$204,0))*100)-IFERROR(INDEX('Trade Log'!$Q$5:$Q$204,MATCH(A240,'Trade Log'!$A$5:$A$204,0))*I240/INDEX('Trade Log'!$O$5:$O$204,MATCH(A240,'Trade Log'!$A$5:$A$204,0)),0))</f>
        <v/>
      </c>
      <c r="Q240" s="12" t="str">
        <f>IFERROR(P240/(I240*INDEX('Trade Log'!$P$5:$P$204,MATCH(A240,'Trade Log'!$A$5:$A$204,0))*100+IFERROR(INDEX('Trade Log'!$Q$5:$Q$204,MATCH(A240,'Trade Log'!$A$5:$A$204,0))*I240/INDEX('Trade Log'!$O$5:$O$204,MATCH(A240,'Trade Log'!$A$5:$A$204,0)),0)),"")</f>
        <v/>
      </c>
      <c r="R240" s="10"/>
    </row>
    <row r="241" spans="1:18">
      <c r="A241" s="2"/>
      <c r="B241" s="4" t="str">
        <f>IF(A241="","",COUNTIF($A$5:A241,A241))</f>
        <v/>
      </c>
      <c r="C241" s="3"/>
      <c r="D241" s="4" t="str">
        <f t="shared" si="10"/>
        <v/>
      </c>
      <c r="E241" s="5"/>
      <c r="F241" s="2"/>
      <c r="G241" s="4" t="str">
        <f>IFERROR(INDEX('Trade Log'!$F$5:$F$204,MATCH(A241,'Trade Log'!$A$5:$A$204,0)),"")</f>
        <v/>
      </c>
      <c r="H241" s="4" t="str">
        <f>IFERROR(INDEX('Trade Log'!$I$5:$I$204,MATCH(A241,'Trade Log'!$A$5:$A$204,0)),"")</f>
        <v/>
      </c>
      <c r="I241" s="7"/>
      <c r="J241" s="8"/>
      <c r="K241" s="8"/>
      <c r="L241" s="8"/>
      <c r="M241" s="2"/>
      <c r="N241" s="9" t="str">
        <f t="shared" si="11"/>
        <v/>
      </c>
      <c r="O241" s="9" t="str">
        <f t="shared" si="12"/>
        <v/>
      </c>
      <c r="P241" s="9" t="str">
        <f>IF(A241="","",O241-(I241*INDEX('Trade Log'!$P$5:$P$204,MATCH(A241,'Trade Log'!$A$5:$A$204,0))*100)-IFERROR(INDEX('Trade Log'!$Q$5:$Q$204,MATCH(A241,'Trade Log'!$A$5:$A$204,0))*I241/INDEX('Trade Log'!$O$5:$O$204,MATCH(A241,'Trade Log'!$A$5:$A$204,0)),0))</f>
        <v/>
      </c>
      <c r="Q241" s="12" t="str">
        <f>IFERROR(P241/(I241*INDEX('Trade Log'!$P$5:$P$204,MATCH(A241,'Trade Log'!$A$5:$A$204,0))*100+IFERROR(INDEX('Trade Log'!$Q$5:$Q$204,MATCH(A241,'Trade Log'!$A$5:$A$204,0))*I241/INDEX('Trade Log'!$O$5:$O$204,MATCH(A241,'Trade Log'!$A$5:$A$204,0)),0)),"")</f>
        <v/>
      </c>
      <c r="R241" s="10"/>
    </row>
    <row r="242" spans="1:18">
      <c r="A242" s="2"/>
      <c r="B242" s="4" t="str">
        <f>IF(A242="","",COUNTIF($A$5:A242,A242))</f>
        <v/>
      </c>
      <c r="C242" s="3"/>
      <c r="D242" s="4" t="str">
        <f t="shared" si="10"/>
        <v/>
      </c>
      <c r="E242" s="5"/>
      <c r="F242" s="2"/>
      <c r="G242" s="4" t="str">
        <f>IFERROR(INDEX('Trade Log'!$F$5:$F$204,MATCH(A242,'Trade Log'!$A$5:$A$204,0)),"")</f>
        <v/>
      </c>
      <c r="H242" s="4" t="str">
        <f>IFERROR(INDEX('Trade Log'!$I$5:$I$204,MATCH(A242,'Trade Log'!$A$5:$A$204,0)),"")</f>
        <v/>
      </c>
      <c r="I242" s="7"/>
      <c r="J242" s="8"/>
      <c r="K242" s="8"/>
      <c r="L242" s="8"/>
      <c r="M242" s="2"/>
      <c r="N242" s="9" t="str">
        <f t="shared" si="11"/>
        <v/>
      </c>
      <c r="O242" s="9" t="str">
        <f t="shared" si="12"/>
        <v/>
      </c>
      <c r="P242" s="9" t="str">
        <f>IF(A242="","",O242-(I242*INDEX('Trade Log'!$P$5:$P$204,MATCH(A242,'Trade Log'!$A$5:$A$204,0))*100)-IFERROR(INDEX('Trade Log'!$Q$5:$Q$204,MATCH(A242,'Trade Log'!$A$5:$A$204,0))*I242/INDEX('Trade Log'!$O$5:$O$204,MATCH(A242,'Trade Log'!$A$5:$A$204,0)),0))</f>
        <v/>
      </c>
      <c r="Q242" s="12" t="str">
        <f>IFERROR(P242/(I242*INDEX('Trade Log'!$P$5:$P$204,MATCH(A242,'Trade Log'!$A$5:$A$204,0))*100+IFERROR(INDEX('Trade Log'!$Q$5:$Q$204,MATCH(A242,'Trade Log'!$A$5:$A$204,0))*I242/INDEX('Trade Log'!$O$5:$O$204,MATCH(A242,'Trade Log'!$A$5:$A$204,0)),0)),"")</f>
        <v/>
      </c>
      <c r="R242" s="10"/>
    </row>
    <row r="243" spans="1:18">
      <c r="A243" s="2"/>
      <c r="B243" s="4" t="str">
        <f>IF(A243="","",COUNTIF($A$5:A243,A243))</f>
        <v/>
      </c>
      <c r="C243" s="3"/>
      <c r="D243" s="4" t="str">
        <f t="shared" si="10"/>
        <v/>
      </c>
      <c r="E243" s="5"/>
      <c r="F243" s="2"/>
      <c r="G243" s="4" t="str">
        <f>IFERROR(INDEX('Trade Log'!$F$5:$F$204,MATCH(A243,'Trade Log'!$A$5:$A$204,0)),"")</f>
        <v/>
      </c>
      <c r="H243" s="4" t="str">
        <f>IFERROR(INDEX('Trade Log'!$I$5:$I$204,MATCH(A243,'Trade Log'!$A$5:$A$204,0)),"")</f>
        <v/>
      </c>
      <c r="I243" s="7"/>
      <c r="J243" s="8"/>
      <c r="K243" s="8"/>
      <c r="L243" s="8"/>
      <c r="M243" s="2"/>
      <c r="N243" s="9" t="str">
        <f t="shared" si="11"/>
        <v/>
      </c>
      <c r="O243" s="9" t="str">
        <f t="shared" si="12"/>
        <v/>
      </c>
      <c r="P243" s="9" t="str">
        <f>IF(A243="","",O243-(I243*INDEX('Trade Log'!$P$5:$P$204,MATCH(A243,'Trade Log'!$A$5:$A$204,0))*100)-IFERROR(INDEX('Trade Log'!$Q$5:$Q$204,MATCH(A243,'Trade Log'!$A$5:$A$204,0))*I243/INDEX('Trade Log'!$O$5:$O$204,MATCH(A243,'Trade Log'!$A$5:$A$204,0)),0))</f>
        <v/>
      </c>
      <c r="Q243" s="12" t="str">
        <f>IFERROR(P243/(I243*INDEX('Trade Log'!$P$5:$P$204,MATCH(A243,'Trade Log'!$A$5:$A$204,0))*100+IFERROR(INDEX('Trade Log'!$Q$5:$Q$204,MATCH(A243,'Trade Log'!$A$5:$A$204,0))*I243/INDEX('Trade Log'!$O$5:$O$204,MATCH(A243,'Trade Log'!$A$5:$A$204,0)),0)),"")</f>
        <v/>
      </c>
      <c r="R243" s="10"/>
    </row>
    <row r="244" spans="1:18">
      <c r="A244" s="2"/>
      <c r="B244" s="4" t="str">
        <f>IF(A244="","",COUNTIF($A$5:A244,A244))</f>
        <v/>
      </c>
      <c r="C244" s="3"/>
      <c r="D244" s="4" t="str">
        <f t="shared" si="10"/>
        <v/>
      </c>
      <c r="E244" s="5"/>
      <c r="F244" s="2"/>
      <c r="G244" s="4" t="str">
        <f>IFERROR(INDEX('Trade Log'!$F$5:$F$204,MATCH(A244,'Trade Log'!$A$5:$A$204,0)),"")</f>
        <v/>
      </c>
      <c r="H244" s="4" t="str">
        <f>IFERROR(INDEX('Trade Log'!$I$5:$I$204,MATCH(A244,'Trade Log'!$A$5:$A$204,0)),"")</f>
        <v/>
      </c>
      <c r="I244" s="7"/>
      <c r="J244" s="8"/>
      <c r="K244" s="8"/>
      <c r="L244" s="8"/>
      <c r="M244" s="2"/>
      <c r="N244" s="9" t="str">
        <f t="shared" si="11"/>
        <v/>
      </c>
      <c r="O244" s="9" t="str">
        <f t="shared" si="12"/>
        <v/>
      </c>
      <c r="P244" s="9" t="str">
        <f>IF(A244="","",O244-(I244*INDEX('Trade Log'!$P$5:$P$204,MATCH(A244,'Trade Log'!$A$5:$A$204,0))*100)-IFERROR(INDEX('Trade Log'!$Q$5:$Q$204,MATCH(A244,'Trade Log'!$A$5:$A$204,0))*I244/INDEX('Trade Log'!$O$5:$O$204,MATCH(A244,'Trade Log'!$A$5:$A$204,0)),0))</f>
        <v/>
      </c>
      <c r="Q244" s="12" t="str">
        <f>IFERROR(P244/(I244*INDEX('Trade Log'!$P$5:$P$204,MATCH(A244,'Trade Log'!$A$5:$A$204,0))*100+IFERROR(INDEX('Trade Log'!$Q$5:$Q$204,MATCH(A244,'Trade Log'!$A$5:$A$204,0))*I244/INDEX('Trade Log'!$O$5:$O$204,MATCH(A244,'Trade Log'!$A$5:$A$204,0)),0)),"")</f>
        <v/>
      </c>
      <c r="R244" s="10"/>
    </row>
    <row r="245" spans="1:18">
      <c r="A245" s="2"/>
      <c r="B245" s="4" t="str">
        <f>IF(A245="","",COUNTIF($A$5:A245,A245))</f>
        <v/>
      </c>
      <c r="C245" s="3"/>
      <c r="D245" s="4" t="str">
        <f t="shared" si="10"/>
        <v/>
      </c>
      <c r="E245" s="5"/>
      <c r="F245" s="2"/>
      <c r="G245" s="4" t="str">
        <f>IFERROR(INDEX('Trade Log'!$F$5:$F$204,MATCH(A245,'Trade Log'!$A$5:$A$204,0)),"")</f>
        <v/>
      </c>
      <c r="H245" s="4" t="str">
        <f>IFERROR(INDEX('Trade Log'!$I$5:$I$204,MATCH(A245,'Trade Log'!$A$5:$A$204,0)),"")</f>
        <v/>
      </c>
      <c r="I245" s="7"/>
      <c r="J245" s="8"/>
      <c r="K245" s="8"/>
      <c r="L245" s="8"/>
      <c r="M245" s="2"/>
      <c r="N245" s="9" t="str">
        <f t="shared" si="11"/>
        <v/>
      </c>
      <c r="O245" s="9" t="str">
        <f t="shared" si="12"/>
        <v/>
      </c>
      <c r="P245" s="9" t="str">
        <f>IF(A245="","",O245-(I245*INDEX('Trade Log'!$P$5:$P$204,MATCH(A245,'Trade Log'!$A$5:$A$204,0))*100)-IFERROR(INDEX('Trade Log'!$Q$5:$Q$204,MATCH(A245,'Trade Log'!$A$5:$A$204,0))*I245/INDEX('Trade Log'!$O$5:$O$204,MATCH(A245,'Trade Log'!$A$5:$A$204,0)),0))</f>
        <v/>
      </c>
      <c r="Q245" s="12" t="str">
        <f>IFERROR(P245/(I245*INDEX('Trade Log'!$P$5:$P$204,MATCH(A245,'Trade Log'!$A$5:$A$204,0))*100+IFERROR(INDEX('Trade Log'!$Q$5:$Q$204,MATCH(A245,'Trade Log'!$A$5:$A$204,0))*I245/INDEX('Trade Log'!$O$5:$O$204,MATCH(A245,'Trade Log'!$A$5:$A$204,0)),0)),"")</f>
        <v/>
      </c>
      <c r="R245" s="10"/>
    </row>
    <row r="246" spans="1:18">
      <c r="A246" s="2"/>
      <c r="B246" s="4" t="str">
        <f>IF(A246="","",COUNTIF($A$5:A246,A246))</f>
        <v/>
      </c>
      <c r="C246" s="3"/>
      <c r="D246" s="4" t="str">
        <f t="shared" si="10"/>
        <v/>
      </c>
      <c r="E246" s="5"/>
      <c r="F246" s="2"/>
      <c r="G246" s="4" t="str">
        <f>IFERROR(INDEX('Trade Log'!$F$5:$F$204,MATCH(A246,'Trade Log'!$A$5:$A$204,0)),"")</f>
        <v/>
      </c>
      <c r="H246" s="4" t="str">
        <f>IFERROR(INDEX('Trade Log'!$I$5:$I$204,MATCH(A246,'Trade Log'!$A$5:$A$204,0)),"")</f>
        <v/>
      </c>
      <c r="I246" s="7"/>
      <c r="J246" s="8"/>
      <c r="K246" s="8"/>
      <c r="L246" s="8"/>
      <c r="M246" s="2"/>
      <c r="N246" s="9" t="str">
        <f t="shared" si="11"/>
        <v/>
      </c>
      <c r="O246" s="9" t="str">
        <f t="shared" si="12"/>
        <v/>
      </c>
      <c r="P246" s="9" t="str">
        <f>IF(A246="","",O246-(I246*INDEX('Trade Log'!$P$5:$P$204,MATCH(A246,'Trade Log'!$A$5:$A$204,0))*100)-IFERROR(INDEX('Trade Log'!$Q$5:$Q$204,MATCH(A246,'Trade Log'!$A$5:$A$204,0))*I246/INDEX('Trade Log'!$O$5:$O$204,MATCH(A246,'Trade Log'!$A$5:$A$204,0)),0))</f>
        <v/>
      </c>
      <c r="Q246" s="12" t="str">
        <f>IFERROR(P246/(I246*INDEX('Trade Log'!$P$5:$P$204,MATCH(A246,'Trade Log'!$A$5:$A$204,0))*100+IFERROR(INDEX('Trade Log'!$Q$5:$Q$204,MATCH(A246,'Trade Log'!$A$5:$A$204,0))*I246/INDEX('Trade Log'!$O$5:$O$204,MATCH(A246,'Trade Log'!$A$5:$A$204,0)),0)),"")</f>
        <v/>
      </c>
      <c r="R246" s="10"/>
    </row>
    <row r="247" spans="1:18">
      <c r="A247" s="2"/>
      <c r="B247" s="4" t="str">
        <f>IF(A247="","",COUNTIF($A$5:A247,A247))</f>
        <v/>
      </c>
      <c r="C247" s="3"/>
      <c r="D247" s="4" t="str">
        <f t="shared" si="10"/>
        <v/>
      </c>
      <c r="E247" s="5"/>
      <c r="F247" s="2"/>
      <c r="G247" s="4" t="str">
        <f>IFERROR(INDEX('Trade Log'!$F$5:$F$204,MATCH(A247,'Trade Log'!$A$5:$A$204,0)),"")</f>
        <v/>
      </c>
      <c r="H247" s="4" t="str">
        <f>IFERROR(INDEX('Trade Log'!$I$5:$I$204,MATCH(A247,'Trade Log'!$A$5:$A$204,0)),"")</f>
        <v/>
      </c>
      <c r="I247" s="7"/>
      <c r="J247" s="8"/>
      <c r="K247" s="8"/>
      <c r="L247" s="8"/>
      <c r="M247" s="2"/>
      <c r="N247" s="9" t="str">
        <f t="shared" si="11"/>
        <v/>
      </c>
      <c r="O247" s="9" t="str">
        <f t="shared" si="12"/>
        <v/>
      </c>
      <c r="P247" s="9" t="str">
        <f>IF(A247="","",O247-(I247*INDEX('Trade Log'!$P$5:$P$204,MATCH(A247,'Trade Log'!$A$5:$A$204,0))*100)-IFERROR(INDEX('Trade Log'!$Q$5:$Q$204,MATCH(A247,'Trade Log'!$A$5:$A$204,0))*I247/INDEX('Trade Log'!$O$5:$O$204,MATCH(A247,'Trade Log'!$A$5:$A$204,0)),0))</f>
        <v/>
      </c>
      <c r="Q247" s="12" t="str">
        <f>IFERROR(P247/(I247*INDEX('Trade Log'!$P$5:$P$204,MATCH(A247,'Trade Log'!$A$5:$A$204,0))*100+IFERROR(INDEX('Trade Log'!$Q$5:$Q$204,MATCH(A247,'Trade Log'!$A$5:$A$204,0))*I247/INDEX('Trade Log'!$O$5:$O$204,MATCH(A247,'Trade Log'!$A$5:$A$204,0)),0)),"")</f>
        <v/>
      </c>
      <c r="R247" s="10"/>
    </row>
    <row r="248" spans="1:18">
      <c r="A248" s="2"/>
      <c r="B248" s="4" t="str">
        <f>IF(A248="","",COUNTIF($A$5:A248,A248))</f>
        <v/>
      </c>
      <c r="C248" s="3"/>
      <c r="D248" s="4" t="str">
        <f t="shared" si="10"/>
        <v/>
      </c>
      <c r="E248" s="5"/>
      <c r="F248" s="2"/>
      <c r="G248" s="4" t="str">
        <f>IFERROR(INDEX('Trade Log'!$F$5:$F$204,MATCH(A248,'Trade Log'!$A$5:$A$204,0)),"")</f>
        <v/>
      </c>
      <c r="H248" s="4" t="str">
        <f>IFERROR(INDEX('Trade Log'!$I$5:$I$204,MATCH(A248,'Trade Log'!$A$5:$A$204,0)),"")</f>
        <v/>
      </c>
      <c r="I248" s="7"/>
      <c r="J248" s="8"/>
      <c r="K248" s="8"/>
      <c r="L248" s="8"/>
      <c r="M248" s="2"/>
      <c r="N248" s="9" t="str">
        <f t="shared" si="11"/>
        <v/>
      </c>
      <c r="O248" s="9" t="str">
        <f t="shared" si="12"/>
        <v/>
      </c>
      <c r="P248" s="9" t="str">
        <f>IF(A248="","",O248-(I248*INDEX('Trade Log'!$P$5:$P$204,MATCH(A248,'Trade Log'!$A$5:$A$204,0))*100)-IFERROR(INDEX('Trade Log'!$Q$5:$Q$204,MATCH(A248,'Trade Log'!$A$5:$A$204,0))*I248/INDEX('Trade Log'!$O$5:$O$204,MATCH(A248,'Trade Log'!$A$5:$A$204,0)),0))</f>
        <v/>
      </c>
      <c r="Q248" s="12" t="str">
        <f>IFERROR(P248/(I248*INDEX('Trade Log'!$P$5:$P$204,MATCH(A248,'Trade Log'!$A$5:$A$204,0))*100+IFERROR(INDEX('Trade Log'!$Q$5:$Q$204,MATCH(A248,'Trade Log'!$A$5:$A$204,0))*I248/INDEX('Trade Log'!$O$5:$O$204,MATCH(A248,'Trade Log'!$A$5:$A$204,0)),0)),"")</f>
        <v/>
      </c>
      <c r="R248" s="10"/>
    </row>
    <row r="249" spans="1:18">
      <c r="A249" s="2"/>
      <c r="B249" s="4" t="str">
        <f>IF(A249="","",COUNTIF($A$5:A249,A249))</f>
        <v/>
      </c>
      <c r="C249" s="3"/>
      <c r="D249" s="4" t="str">
        <f t="shared" si="10"/>
        <v/>
      </c>
      <c r="E249" s="5"/>
      <c r="F249" s="2"/>
      <c r="G249" s="4" t="str">
        <f>IFERROR(INDEX('Trade Log'!$F$5:$F$204,MATCH(A249,'Trade Log'!$A$5:$A$204,0)),"")</f>
        <v/>
      </c>
      <c r="H249" s="4" t="str">
        <f>IFERROR(INDEX('Trade Log'!$I$5:$I$204,MATCH(A249,'Trade Log'!$A$5:$A$204,0)),"")</f>
        <v/>
      </c>
      <c r="I249" s="7"/>
      <c r="J249" s="8"/>
      <c r="K249" s="8"/>
      <c r="L249" s="8"/>
      <c r="M249" s="2"/>
      <c r="N249" s="9" t="str">
        <f t="shared" si="11"/>
        <v/>
      </c>
      <c r="O249" s="9" t="str">
        <f t="shared" si="12"/>
        <v/>
      </c>
      <c r="P249" s="9" t="str">
        <f>IF(A249="","",O249-(I249*INDEX('Trade Log'!$P$5:$P$204,MATCH(A249,'Trade Log'!$A$5:$A$204,0))*100)-IFERROR(INDEX('Trade Log'!$Q$5:$Q$204,MATCH(A249,'Trade Log'!$A$5:$A$204,0))*I249/INDEX('Trade Log'!$O$5:$O$204,MATCH(A249,'Trade Log'!$A$5:$A$204,0)),0))</f>
        <v/>
      </c>
      <c r="Q249" s="12" t="str">
        <f>IFERROR(P249/(I249*INDEX('Trade Log'!$P$5:$P$204,MATCH(A249,'Trade Log'!$A$5:$A$204,0))*100+IFERROR(INDEX('Trade Log'!$Q$5:$Q$204,MATCH(A249,'Trade Log'!$A$5:$A$204,0))*I249/INDEX('Trade Log'!$O$5:$O$204,MATCH(A249,'Trade Log'!$A$5:$A$204,0)),0)),"")</f>
        <v/>
      </c>
      <c r="R249" s="10"/>
    </row>
    <row r="250" spans="1:18">
      <c r="A250" s="2"/>
      <c r="B250" s="4" t="str">
        <f>IF(A250="","",COUNTIF($A$5:A250,A250))</f>
        <v/>
      </c>
      <c r="C250" s="3"/>
      <c r="D250" s="4" t="str">
        <f t="shared" si="10"/>
        <v/>
      </c>
      <c r="E250" s="5"/>
      <c r="F250" s="2"/>
      <c r="G250" s="4" t="str">
        <f>IFERROR(INDEX('Trade Log'!$F$5:$F$204,MATCH(A250,'Trade Log'!$A$5:$A$204,0)),"")</f>
        <v/>
      </c>
      <c r="H250" s="4" t="str">
        <f>IFERROR(INDEX('Trade Log'!$I$5:$I$204,MATCH(A250,'Trade Log'!$A$5:$A$204,0)),"")</f>
        <v/>
      </c>
      <c r="I250" s="7"/>
      <c r="J250" s="8"/>
      <c r="K250" s="8"/>
      <c r="L250" s="8"/>
      <c r="M250" s="2"/>
      <c r="N250" s="9" t="str">
        <f t="shared" si="11"/>
        <v/>
      </c>
      <c r="O250" s="9" t="str">
        <f t="shared" si="12"/>
        <v/>
      </c>
      <c r="P250" s="9" t="str">
        <f>IF(A250="","",O250-(I250*INDEX('Trade Log'!$P$5:$P$204,MATCH(A250,'Trade Log'!$A$5:$A$204,0))*100)-IFERROR(INDEX('Trade Log'!$Q$5:$Q$204,MATCH(A250,'Trade Log'!$A$5:$A$204,0))*I250/INDEX('Trade Log'!$O$5:$O$204,MATCH(A250,'Trade Log'!$A$5:$A$204,0)),0))</f>
        <v/>
      </c>
      <c r="Q250" s="12" t="str">
        <f>IFERROR(P250/(I250*INDEX('Trade Log'!$P$5:$P$204,MATCH(A250,'Trade Log'!$A$5:$A$204,0))*100+IFERROR(INDEX('Trade Log'!$Q$5:$Q$204,MATCH(A250,'Trade Log'!$A$5:$A$204,0))*I250/INDEX('Trade Log'!$O$5:$O$204,MATCH(A250,'Trade Log'!$A$5:$A$204,0)),0)),"")</f>
        <v/>
      </c>
      <c r="R250" s="10"/>
    </row>
    <row r="251" spans="1:18">
      <c r="A251" s="2"/>
      <c r="B251" s="4" t="str">
        <f>IF(A251="","",COUNTIF($A$5:A251,A251))</f>
        <v/>
      </c>
      <c r="C251" s="3"/>
      <c r="D251" s="4" t="str">
        <f t="shared" si="10"/>
        <v/>
      </c>
      <c r="E251" s="5"/>
      <c r="F251" s="2"/>
      <c r="G251" s="4" t="str">
        <f>IFERROR(INDEX('Trade Log'!$F$5:$F$204,MATCH(A251,'Trade Log'!$A$5:$A$204,0)),"")</f>
        <v/>
      </c>
      <c r="H251" s="4" t="str">
        <f>IFERROR(INDEX('Trade Log'!$I$5:$I$204,MATCH(A251,'Trade Log'!$A$5:$A$204,0)),"")</f>
        <v/>
      </c>
      <c r="I251" s="7"/>
      <c r="J251" s="8"/>
      <c r="K251" s="8"/>
      <c r="L251" s="8"/>
      <c r="M251" s="2"/>
      <c r="N251" s="9" t="str">
        <f t="shared" si="11"/>
        <v/>
      </c>
      <c r="O251" s="9" t="str">
        <f t="shared" si="12"/>
        <v/>
      </c>
      <c r="P251" s="9" t="str">
        <f>IF(A251="","",O251-(I251*INDEX('Trade Log'!$P$5:$P$204,MATCH(A251,'Trade Log'!$A$5:$A$204,0))*100)-IFERROR(INDEX('Trade Log'!$Q$5:$Q$204,MATCH(A251,'Trade Log'!$A$5:$A$204,0))*I251/INDEX('Trade Log'!$O$5:$O$204,MATCH(A251,'Trade Log'!$A$5:$A$204,0)),0))</f>
        <v/>
      </c>
      <c r="Q251" s="12" t="str">
        <f>IFERROR(P251/(I251*INDEX('Trade Log'!$P$5:$P$204,MATCH(A251,'Trade Log'!$A$5:$A$204,0))*100+IFERROR(INDEX('Trade Log'!$Q$5:$Q$204,MATCH(A251,'Trade Log'!$A$5:$A$204,0))*I251/INDEX('Trade Log'!$O$5:$O$204,MATCH(A251,'Trade Log'!$A$5:$A$204,0)),0)),"")</f>
        <v/>
      </c>
      <c r="R251" s="10"/>
    </row>
    <row r="252" spans="1:18">
      <c r="A252" s="2"/>
      <c r="B252" s="4" t="str">
        <f>IF(A252="","",COUNTIF($A$5:A252,A252))</f>
        <v/>
      </c>
      <c r="C252" s="3"/>
      <c r="D252" s="4" t="str">
        <f t="shared" si="10"/>
        <v/>
      </c>
      <c r="E252" s="5"/>
      <c r="F252" s="2"/>
      <c r="G252" s="4" t="str">
        <f>IFERROR(INDEX('Trade Log'!$F$5:$F$204,MATCH(A252,'Trade Log'!$A$5:$A$204,0)),"")</f>
        <v/>
      </c>
      <c r="H252" s="4" t="str">
        <f>IFERROR(INDEX('Trade Log'!$I$5:$I$204,MATCH(A252,'Trade Log'!$A$5:$A$204,0)),"")</f>
        <v/>
      </c>
      <c r="I252" s="7"/>
      <c r="J252" s="8"/>
      <c r="K252" s="8"/>
      <c r="L252" s="8"/>
      <c r="M252" s="2"/>
      <c r="N252" s="9" t="str">
        <f t="shared" si="11"/>
        <v/>
      </c>
      <c r="O252" s="9" t="str">
        <f t="shared" si="12"/>
        <v/>
      </c>
      <c r="P252" s="9" t="str">
        <f>IF(A252="","",O252-(I252*INDEX('Trade Log'!$P$5:$P$204,MATCH(A252,'Trade Log'!$A$5:$A$204,0))*100)-IFERROR(INDEX('Trade Log'!$Q$5:$Q$204,MATCH(A252,'Trade Log'!$A$5:$A$204,0))*I252/INDEX('Trade Log'!$O$5:$O$204,MATCH(A252,'Trade Log'!$A$5:$A$204,0)),0))</f>
        <v/>
      </c>
      <c r="Q252" s="12" t="str">
        <f>IFERROR(P252/(I252*INDEX('Trade Log'!$P$5:$P$204,MATCH(A252,'Trade Log'!$A$5:$A$204,0))*100+IFERROR(INDEX('Trade Log'!$Q$5:$Q$204,MATCH(A252,'Trade Log'!$A$5:$A$204,0))*I252/INDEX('Trade Log'!$O$5:$O$204,MATCH(A252,'Trade Log'!$A$5:$A$204,0)),0)),"")</f>
        <v/>
      </c>
      <c r="R252" s="10"/>
    </row>
    <row r="253" spans="1:18">
      <c r="A253" s="2"/>
      <c r="B253" s="4" t="str">
        <f>IF(A253="","",COUNTIF($A$5:A253,A253))</f>
        <v/>
      </c>
      <c r="C253" s="3"/>
      <c r="D253" s="4" t="str">
        <f t="shared" si="10"/>
        <v/>
      </c>
      <c r="E253" s="5"/>
      <c r="F253" s="2"/>
      <c r="G253" s="4" t="str">
        <f>IFERROR(INDEX('Trade Log'!$F$5:$F$204,MATCH(A253,'Trade Log'!$A$5:$A$204,0)),"")</f>
        <v/>
      </c>
      <c r="H253" s="4" t="str">
        <f>IFERROR(INDEX('Trade Log'!$I$5:$I$204,MATCH(A253,'Trade Log'!$A$5:$A$204,0)),"")</f>
        <v/>
      </c>
      <c r="I253" s="7"/>
      <c r="J253" s="8"/>
      <c r="K253" s="8"/>
      <c r="L253" s="8"/>
      <c r="M253" s="2"/>
      <c r="N253" s="9" t="str">
        <f t="shared" si="11"/>
        <v/>
      </c>
      <c r="O253" s="9" t="str">
        <f t="shared" si="12"/>
        <v/>
      </c>
      <c r="P253" s="9" t="str">
        <f>IF(A253="","",O253-(I253*INDEX('Trade Log'!$P$5:$P$204,MATCH(A253,'Trade Log'!$A$5:$A$204,0))*100)-IFERROR(INDEX('Trade Log'!$Q$5:$Q$204,MATCH(A253,'Trade Log'!$A$5:$A$204,0))*I253/INDEX('Trade Log'!$O$5:$O$204,MATCH(A253,'Trade Log'!$A$5:$A$204,0)),0))</f>
        <v/>
      </c>
      <c r="Q253" s="12" t="str">
        <f>IFERROR(P253/(I253*INDEX('Trade Log'!$P$5:$P$204,MATCH(A253,'Trade Log'!$A$5:$A$204,0))*100+IFERROR(INDEX('Trade Log'!$Q$5:$Q$204,MATCH(A253,'Trade Log'!$A$5:$A$204,0))*I253/INDEX('Trade Log'!$O$5:$O$204,MATCH(A253,'Trade Log'!$A$5:$A$204,0)),0)),"")</f>
        <v/>
      </c>
      <c r="R253" s="10"/>
    </row>
    <row r="254" spans="1:18">
      <c r="A254" s="2"/>
      <c r="B254" s="4" t="str">
        <f>IF(A254="","",COUNTIF($A$5:A254,A254))</f>
        <v/>
      </c>
      <c r="C254" s="3"/>
      <c r="D254" s="4" t="str">
        <f t="shared" si="10"/>
        <v/>
      </c>
      <c r="E254" s="5"/>
      <c r="F254" s="2"/>
      <c r="G254" s="4" t="str">
        <f>IFERROR(INDEX('Trade Log'!$F$5:$F$204,MATCH(A254,'Trade Log'!$A$5:$A$204,0)),"")</f>
        <v/>
      </c>
      <c r="H254" s="4" t="str">
        <f>IFERROR(INDEX('Trade Log'!$I$5:$I$204,MATCH(A254,'Trade Log'!$A$5:$A$204,0)),"")</f>
        <v/>
      </c>
      <c r="I254" s="7"/>
      <c r="J254" s="8"/>
      <c r="K254" s="8"/>
      <c r="L254" s="8"/>
      <c r="M254" s="2"/>
      <c r="N254" s="9" t="str">
        <f t="shared" si="11"/>
        <v/>
      </c>
      <c r="O254" s="9" t="str">
        <f t="shared" si="12"/>
        <v/>
      </c>
      <c r="P254" s="9" t="str">
        <f>IF(A254="","",O254-(I254*INDEX('Trade Log'!$P$5:$P$204,MATCH(A254,'Trade Log'!$A$5:$A$204,0))*100)-IFERROR(INDEX('Trade Log'!$Q$5:$Q$204,MATCH(A254,'Trade Log'!$A$5:$A$204,0))*I254/INDEX('Trade Log'!$O$5:$O$204,MATCH(A254,'Trade Log'!$A$5:$A$204,0)),0))</f>
        <v/>
      </c>
      <c r="Q254" s="12" t="str">
        <f>IFERROR(P254/(I254*INDEX('Trade Log'!$P$5:$P$204,MATCH(A254,'Trade Log'!$A$5:$A$204,0))*100+IFERROR(INDEX('Trade Log'!$Q$5:$Q$204,MATCH(A254,'Trade Log'!$A$5:$A$204,0))*I254/INDEX('Trade Log'!$O$5:$O$204,MATCH(A254,'Trade Log'!$A$5:$A$204,0)),0)),"")</f>
        <v/>
      </c>
      <c r="R254" s="10"/>
    </row>
    <row r="255" spans="1:18">
      <c r="A255" s="2"/>
      <c r="B255" s="4" t="str">
        <f>IF(A255="","",COUNTIF($A$5:A255,A255))</f>
        <v/>
      </c>
      <c r="C255" s="3"/>
      <c r="D255" s="4" t="str">
        <f t="shared" si="10"/>
        <v/>
      </c>
      <c r="E255" s="5"/>
      <c r="F255" s="2"/>
      <c r="G255" s="4" t="str">
        <f>IFERROR(INDEX('Trade Log'!$F$5:$F$204,MATCH(A255,'Trade Log'!$A$5:$A$204,0)),"")</f>
        <v/>
      </c>
      <c r="H255" s="4" t="str">
        <f>IFERROR(INDEX('Trade Log'!$I$5:$I$204,MATCH(A255,'Trade Log'!$A$5:$A$204,0)),"")</f>
        <v/>
      </c>
      <c r="I255" s="7"/>
      <c r="J255" s="8"/>
      <c r="K255" s="8"/>
      <c r="L255" s="8"/>
      <c r="M255" s="2"/>
      <c r="N255" s="9" t="str">
        <f t="shared" si="11"/>
        <v/>
      </c>
      <c r="O255" s="9" t="str">
        <f t="shared" si="12"/>
        <v/>
      </c>
      <c r="P255" s="9" t="str">
        <f>IF(A255="","",O255-(I255*INDEX('Trade Log'!$P$5:$P$204,MATCH(A255,'Trade Log'!$A$5:$A$204,0))*100)-IFERROR(INDEX('Trade Log'!$Q$5:$Q$204,MATCH(A255,'Trade Log'!$A$5:$A$204,0))*I255/INDEX('Trade Log'!$O$5:$O$204,MATCH(A255,'Trade Log'!$A$5:$A$204,0)),0))</f>
        <v/>
      </c>
      <c r="Q255" s="12" t="str">
        <f>IFERROR(P255/(I255*INDEX('Trade Log'!$P$5:$P$204,MATCH(A255,'Trade Log'!$A$5:$A$204,0))*100+IFERROR(INDEX('Trade Log'!$Q$5:$Q$204,MATCH(A255,'Trade Log'!$A$5:$A$204,0))*I255/INDEX('Trade Log'!$O$5:$O$204,MATCH(A255,'Trade Log'!$A$5:$A$204,0)),0)),"")</f>
        <v/>
      </c>
      <c r="R255" s="10"/>
    </row>
    <row r="256" spans="1:18">
      <c r="A256" s="2"/>
      <c r="B256" s="4" t="str">
        <f>IF(A256="","",COUNTIF($A$5:A256,A256))</f>
        <v/>
      </c>
      <c r="C256" s="3"/>
      <c r="D256" s="4" t="str">
        <f t="shared" si="10"/>
        <v/>
      </c>
      <c r="E256" s="5"/>
      <c r="F256" s="2"/>
      <c r="G256" s="4" t="str">
        <f>IFERROR(INDEX('Trade Log'!$F$5:$F$204,MATCH(A256,'Trade Log'!$A$5:$A$204,0)),"")</f>
        <v/>
      </c>
      <c r="H256" s="4" t="str">
        <f>IFERROR(INDEX('Trade Log'!$I$5:$I$204,MATCH(A256,'Trade Log'!$A$5:$A$204,0)),"")</f>
        <v/>
      </c>
      <c r="I256" s="7"/>
      <c r="J256" s="8"/>
      <c r="K256" s="8"/>
      <c r="L256" s="8"/>
      <c r="M256" s="2"/>
      <c r="N256" s="9" t="str">
        <f t="shared" si="11"/>
        <v/>
      </c>
      <c r="O256" s="9" t="str">
        <f t="shared" si="12"/>
        <v/>
      </c>
      <c r="P256" s="9" t="str">
        <f>IF(A256="","",O256-(I256*INDEX('Trade Log'!$P$5:$P$204,MATCH(A256,'Trade Log'!$A$5:$A$204,0))*100)-IFERROR(INDEX('Trade Log'!$Q$5:$Q$204,MATCH(A256,'Trade Log'!$A$5:$A$204,0))*I256/INDEX('Trade Log'!$O$5:$O$204,MATCH(A256,'Trade Log'!$A$5:$A$204,0)),0))</f>
        <v/>
      </c>
      <c r="Q256" s="12" t="str">
        <f>IFERROR(P256/(I256*INDEX('Trade Log'!$P$5:$P$204,MATCH(A256,'Trade Log'!$A$5:$A$204,0))*100+IFERROR(INDEX('Trade Log'!$Q$5:$Q$204,MATCH(A256,'Trade Log'!$A$5:$A$204,0))*I256/INDEX('Trade Log'!$O$5:$O$204,MATCH(A256,'Trade Log'!$A$5:$A$204,0)),0)),"")</f>
        <v/>
      </c>
      <c r="R256" s="10"/>
    </row>
    <row r="257" spans="1:18">
      <c r="A257" s="2"/>
      <c r="B257" s="4" t="str">
        <f>IF(A257="","",COUNTIF($A$5:A257,A257))</f>
        <v/>
      </c>
      <c r="C257" s="3"/>
      <c r="D257" s="4" t="str">
        <f t="shared" si="10"/>
        <v/>
      </c>
      <c r="E257" s="5"/>
      <c r="F257" s="2"/>
      <c r="G257" s="4" t="str">
        <f>IFERROR(INDEX('Trade Log'!$F$5:$F$204,MATCH(A257,'Trade Log'!$A$5:$A$204,0)),"")</f>
        <v/>
      </c>
      <c r="H257" s="4" t="str">
        <f>IFERROR(INDEX('Trade Log'!$I$5:$I$204,MATCH(A257,'Trade Log'!$A$5:$A$204,0)),"")</f>
        <v/>
      </c>
      <c r="I257" s="7"/>
      <c r="J257" s="8"/>
      <c r="K257" s="8"/>
      <c r="L257" s="8"/>
      <c r="M257" s="2"/>
      <c r="N257" s="9" t="str">
        <f t="shared" si="11"/>
        <v/>
      </c>
      <c r="O257" s="9" t="str">
        <f t="shared" si="12"/>
        <v/>
      </c>
      <c r="P257" s="9" t="str">
        <f>IF(A257="","",O257-(I257*INDEX('Trade Log'!$P$5:$P$204,MATCH(A257,'Trade Log'!$A$5:$A$204,0))*100)-IFERROR(INDEX('Trade Log'!$Q$5:$Q$204,MATCH(A257,'Trade Log'!$A$5:$A$204,0))*I257/INDEX('Trade Log'!$O$5:$O$204,MATCH(A257,'Trade Log'!$A$5:$A$204,0)),0))</f>
        <v/>
      </c>
      <c r="Q257" s="12" t="str">
        <f>IFERROR(P257/(I257*INDEX('Trade Log'!$P$5:$P$204,MATCH(A257,'Trade Log'!$A$5:$A$204,0))*100+IFERROR(INDEX('Trade Log'!$Q$5:$Q$204,MATCH(A257,'Trade Log'!$A$5:$A$204,0))*I257/INDEX('Trade Log'!$O$5:$O$204,MATCH(A257,'Trade Log'!$A$5:$A$204,0)),0)),"")</f>
        <v/>
      </c>
      <c r="R257" s="10"/>
    </row>
    <row r="258" spans="1:18">
      <c r="A258" s="2"/>
      <c r="B258" s="4" t="str">
        <f>IF(A258="","",COUNTIF($A$5:A258,A258))</f>
        <v/>
      </c>
      <c r="C258" s="3"/>
      <c r="D258" s="4" t="str">
        <f t="shared" si="10"/>
        <v/>
      </c>
      <c r="E258" s="5"/>
      <c r="F258" s="2"/>
      <c r="G258" s="4" t="str">
        <f>IFERROR(INDEX('Trade Log'!$F$5:$F$204,MATCH(A258,'Trade Log'!$A$5:$A$204,0)),"")</f>
        <v/>
      </c>
      <c r="H258" s="4" t="str">
        <f>IFERROR(INDEX('Trade Log'!$I$5:$I$204,MATCH(A258,'Trade Log'!$A$5:$A$204,0)),"")</f>
        <v/>
      </c>
      <c r="I258" s="7"/>
      <c r="J258" s="8"/>
      <c r="K258" s="8"/>
      <c r="L258" s="8"/>
      <c r="M258" s="2"/>
      <c r="N258" s="9" t="str">
        <f t="shared" si="11"/>
        <v/>
      </c>
      <c r="O258" s="9" t="str">
        <f t="shared" si="12"/>
        <v/>
      </c>
      <c r="P258" s="9" t="str">
        <f>IF(A258="","",O258-(I258*INDEX('Trade Log'!$P$5:$P$204,MATCH(A258,'Trade Log'!$A$5:$A$204,0))*100)-IFERROR(INDEX('Trade Log'!$Q$5:$Q$204,MATCH(A258,'Trade Log'!$A$5:$A$204,0))*I258/INDEX('Trade Log'!$O$5:$O$204,MATCH(A258,'Trade Log'!$A$5:$A$204,0)),0))</f>
        <v/>
      </c>
      <c r="Q258" s="12" t="str">
        <f>IFERROR(P258/(I258*INDEX('Trade Log'!$P$5:$P$204,MATCH(A258,'Trade Log'!$A$5:$A$204,0))*100+IFERROR(INDEX('Trade Log'!$Q$5:$Q$204,MATCH(A258,'Trade Log'!$A$5:$A$204,0))*I258/INDEX('Trade Log'!$O$5:$O$204,MATCH(A258,'Trade Log'!$A$5:$A$204,0)),0)),"")</f>
        <v/>
      </c>
      <c r="R258" s="10"/>
    </row>
    <row r="259" spans="1:18">
      <c r="A259" s="2"/>
      <c r="B259" s="4" t="str">
        <f>IF(A259="","",COUNTIF($A$5:A259,A259))</f>
        <v/>
      </c>
      <c r="C259" s="3"/>
      <c r="D259" s="4" t="str">
        <f t="shared" si="10"/>
        <v/>
      </c>
      <c r="E259" s="5"/>
      <c r="F259" s="2"/>
      <c r="G259" s="4" t="str">
        <f>IFERROR(INDEX('Trade Log'!$F$5:$F$204,MATCH(A259,'Trade Log'!$A$5:$A$204,0)),"")</f>
        <v/>
      </c>
      <c r="H259" s="4" t="str">
        <f>IFERROR(INDEX('Trade Log'!$I$5:$I$204,MATCH(A259,'Trade Log'!$A$5:$A$204,0)),"")</f>
        <v/>
      </c>
      <c r="I259" s="7"/>
      <c r="J259" s="8"/>
      <c r="K259" s="8"/>
      <c r="L259" s="8"/>
      <c r="M259" s="2"/>
      <c r="N259" s="9" t="str">
        <f t="shared" si="11"/>
        <v/>
      </c>
      <c r="O259" s="9" t="str">
        <f t="shared" si="12"/>
        <v/>
      </c>
      <c r="P259" s="9" t="str">
        <f>IF(A259="","",O259-(I259*INDEX('Trade Log'!$P$5:$P$204,MATCH(A259,'Trade Log'!$A$5:$A$204,0))*100)-IFERROR(INDEX('Trade Log'!$Q$5:$Q$204,MATCH(A259,'Trade Log'!$A$5:$A$204,0))*I259/INDEX('Trade Log'!$O$5:$O$204,MATCH(A259,'Trade Log'!$A$5:$A$204,0)),0))</f>
        <v/>
      </c>
      <c r="Q259" s="12" t="str">
        <f>IFERROR(P259/(I259*INDEX('Trade Log'!$P$5:$P$204,MATCH(A259,'Trade Log'!$A$5:$A$204,0))*100+IFERROR(INDEX('Trade Log'!$Q$5:$Q$204,MATCH(A259,'Trade Log'!$A$5:$A$204,0))*I259/INDEX('Trade Log'!$O$5:$O$204,MATCH(A259,'Trade Log'!$A$5:$A$204,0)),0)),"")</f>
        <v/>
      </c>
      <c r="R259" s="10"/>
    </row>
    <row r="260" spans="1:18">
      <c r="A260" s="2"/>
      <c r="B260" s="4" t="str">
        <f>IF(A260="","",COUNTIF($A$5:A260,A260))</f>
        <v/>
      </c>
      <c r="C260" s="3"/>
      <c r="D260" s="4" t="str">
        <f t="shared" si="10"/>
        <v/>
      </c>
      <c r="E260" s="5"/>
      <c r="F260" s="2"/>
      <c r="G260" s="4" t="str">
        <f>IFERROR(INDEX('Trade Log'!$F$5:$F$204,MATCH(A260,'Trade Log'!$A$5:$A$204,0)),"")</f>
        <v/>
      </c>
      <c r="H260" s="4" t="str">
        <f>IFERROR(INDEX('Trade Log'!$I$5:$I$204,MATCH(A260,'Trade Log'!$A$5:$A$204,0)),"")</f>
        <v/>
      </c>
      <c r="I260" s="7"/>
      <c r="J260" s="8"/>
      <c r="K260" s="8"/>
      <c r="L260" s="8"/>
      <c r="M260" s="2"/>
      <c r="N260" s="9" t="str">
        <f t="shared" si="11"/>
        <v/>
      </c>
      <c r="O260" s="9" t="str">
        <f t="shared" si="12"/>
        <v/>
      </c>
      <c r="P260" s="9" t="str">
        <f>IF(A260="","",O260-(I260*INDEX('Trade Log'!$P$5:$P$204,MATCH(A260,'Trade Log'!$A$5:$A$204,0))*100)-IFERROR(INDEX('Trade Log'!$Q$5:$Q$204,MATCH(A260,'Trade Log'!$A$5:$A$204,0))*I260/INDEX('Trade Log'!$O$5:$O$204,MATCH(A260,'Trade Log'!$A$5:$A$204,0)),0))</f>
        <v/>
      </c>
      <c r="Q260" s="12" t="str">
        <f>IFERROR(P260/(I260*INDEX('Trade Log'!$P$5:$P$204,MATCH(A260,'Trade Log'!$A$5:$A$204,0))*100+IFERROR(INDEX('Trade Log'!$Q$5:$Q$204,MATCH(A260,'Trade Log'!$A$5:$A$204,0))*I260/INDEX('Trade Log'!$O$5:$O$204,MATCH(A260,'Trade Log'!$A$5:$A$204,0)),0)),"")</f>
        <v/>
      </c>
      <c r="R260" s="10"/>
    </row>
    <row r="261" spans="1:18">
      <c r="A261" s="2"/>
      <c r="B261" s="4" t="str">
        <f>IF(A261="","",COUNTIF($A$5:A261,A261))</f>
        <v/>
      </c>
      <c r="C261" s="3"/>
      <c r="D261" s="4" t="str">
        <f t="shared" ref="D261:D324" si="13">IF(C261="","",TEXT(C261,"dddd"))</f>
        <v/>
      </c>
      <c r="E261" s="5"/>
      <c r="F261" s="2"/>
      <c r="G261" s="4" t="str">
        <f>IFERROR(INDEX('Trade Log'!$F$5:$F$204,MATCH(A261,'Trade Log'!$A$5:$A$204,0)),"")</f>
        <v/>
      </c>
      <c r="H261" s="4" t="str">
        <f>IFERROR(INDEX('Trade Log'!$I$5:$I$204,MATCH(A261,'Trade Log'!$A$5:$A$204,0)),"")</f>
        <v/>
      </c>
      <c r="I261" s="7"/>
      <c r="J261" s="8"/>
      <c r="K261" s="8"/>
      <c r="L261" s="8"/>
      <c r="M261" s="2"/>
      <c r="N261" s="9" t="str">
        <f t="shared" ref="N261:N304" si="14">IF(OR(I261="",J261=""),"",I261*J261*100)</f>
        <v/>
      </c>
      <c r="O261" s="9" t="str">
        <f t="shared" ref="O261:O324" si="15">IF(N261="","",N261-IF(K261="",0,K261))</f>
        <v/>
      </c>
      <c r="P261" s="9" t="str">
        <f>IF(A261="","",O261-(I261*INDEX('Trade Log'!$P$5:$P$204,MATCH(A261,'Trade Log'!$A$5:$A$204,0))*100)-IFERROR(INDEX('Trade Log'!$Q$5:$Q$204,MATCH(A261,'Trade Log'!$A$5:$A$204,0))*I261/INDEX('Trade Log'!$O$5:$O$204,MATCH(A261,'Trade Log'!$A$5:$A$204,0)),0))</f>
        <v/>
      </c>
      <c r="Q261" s="12" t="str">
        <f>IFERROR(P261/(I261*INDEX('Trade Log'!$P$5:$P$204,MATCH(A261,'Trade Log'!$A$5:$A$204,0))*100+IFERROR(INDEX('Trade Log'!$Q$5:$Q$204,MATCH(A261,'Trade Log'!$A$5:$A$204,0))*I261/INDEX('Trade Log'!$O$5:$O$204,MATCH(A261,'Trade Log'!$A$5:$A$204,0)),0)),"")</f>
        <v/>
      </c>
      <c r="R261" s="10"/>
    </row>
    <row r="262" spans="1:18">
      <c r="A262" s="2"/>
      <c r="B262" s="4" t="str">
        <f>IF(A262="","",COUNTIF($A$5:A262,A262))</f>
        <v/>
      </c>
      <c r="C262" s="3"/>
      <c r="D262" s="4" t="str">
        <f t="shared" si="13"/>
        <v/>
      </c>
      <c r="E262" s="5"/>
      <c r="F262" s="2"/>
      <c r="G262" s="4" t="str">
        <f>IFERROR(INDEX('Trade Log'!$F$5:$F$204,MATCH(A262,'Trade Log'!$A$5:$A$204,0)),"")</f>
        <v/>
      </c>
      <c r="H262" s="4" t="str">
        <f>IFERROR(INDEX('Trade Log'!$I$5:$I$204,MATCH(A262,'Trade Log'!$A$5:$A$204,0)),"")</f>
        <v/>
      </c>
      <c r="I262" s="7"/>
      <c r="J262" s="8"/>
      <c r="K262" s="8"/>
      <c r="L262" s="8"/>
      <c r="M262" s="2"/>
      <c r="N262" s="9" t="str">
        <f t="shared" si="14"/>
        <v/>
      </c>
      <c r="O262" s="9" t="str">
        <f t="shared" si="15"/>
        <v/>
      </c>
      <c r="P262" s="9" t="str">
        <f>IF(A262="","",O262-(I262*INDEX('Trade Log'!$P$5:$P$204,MATCH(A262,'Trade Log'!$A$5:$A$204,0))*100)-IFERROR(INDEX('Trade Log'!$Q$5:$Q$204,MATCH(A262,'Trade Log'!$A$5:$A$204,0))*I262/INDEX('Trade Log'!$O$5:$O$204,MATCH(A262,'Trade Log'!$A$5:$A$204,0)),0))</f>
        <v/>
      </c>
      <c r="Q262" s="12" t="str">
        <f>IFERROR(P262/(I262*INDEX('Trade Log'!$P$5:$P$204,MATCH(A262,'Trade Log'!$A$5:$A$204,0))*100+IFERROR(INDEX('Trade Log'!$Q$5:$Q$204,MATCH(A262,'Trade Log'!$A$5:$A$204,0))*I262/INDEX('Trade Log'!$O$5:$O$204,MATCH(A262,'Trade Log'!$A$5:$A$204,0)),0)),"")</f>
        <v/>
      </c>
      <c r="R262" s="10"/>
    </row>
    <row r="263" spans="1:18">
      <c r="A263" s="2"/>
      <c r="B263" s="4" t="str">
        <f>IF(A263="","",COUNTIF($A$5:A263,A263))</f>
        <v/>
      </c>
      <c r="C263" s="3"/>
      <c r="D263" s="4" t="str">
        <f t="shared" si="13"/>
        <v/>
      </c>
      <c r="E263" s="5"/>
      <c r="F263" s="2"/>
      <c r="G263" s="4" t="str">
        <f>IFERROR(INDEX('Trade Log'!$F$5:$F$204,MATCH(A263,'Trade Log'!$A$5:$A$204,0)),"")</f>
        <v/>
      </c>
      <c r="H263" s="4" t="str">
        <f>IFERROR(INDEX('Trade Log'!$I$5:$I$204,MATCH(A263,'Trade Log'!$A$5:$A$204,0)),"")</f>
        <v/>
      </c>
      <c r="I263" s="7"/>
      <c r="J263" s="8"/>
      <c r="K263" s="8"/>
      <c r="L263" s="8"/>
      <c r="M263" s="2"/>
      <c r="N263" s="9" t="str">
        <f t="shared" si="14"/>
        <v/>
      </c>
      <c r="O263" s="9" t="str">
        <f t="shared" si="15"/>
        <v/>
      </c>
      <c r="P263" s="9" t="str">
        <f>IF(A263="","",O263-(I263*INDEX('Trade Log'!$P$5:$P$204,MATCH(A263,'Trade Log'!$A$5:$A$204,0))*100)-IFERROR(INDEX('Trade Log'!$Q$5:$Q$204,MATCH(A263,'Trade Log'!$A$5:$A$204,0))*I263/INDEX('Trade Log'!$O$5:$O$204,MATCH(A263,'Trade Log'!$A$5:$A$204,0)),0))</f>
        <v/>
      </c>
      <c r="Q263" s="12" t="str">
        <f>IFERROR(P263/(I263*INDEX('Trade Log'!$P$5:$P$204,MATCH(A263,'Trade Log'!$A$5:$A$204,0))*100+IFERROR(INDEX('Trade Log'!$Q$5:$Q$204,MATCH(A263,'Trade Log'!$A$5:$A$204,0))*I263/INDEX('Trade Log'!$O$5:$O$204,MATCH(A263,'Trade Log'!$A$5:$A$204,0)),0)),"")</f>
        <v/>
      </c>
      <c r="R263" s="10"/>
    </row>
    <row r="264" spans="1:18">
      <c r="A264" s="2"/>
      <c r="B264" s="4" t="str">
        <f>IF(A264="","",COUNTIF($A$5:A264,A264))</f>
        <v/>
      </c>
      <c r="C264" s="3"/>
      <c r="D264" s="4" t="str">
        <f t="shared" si="13"/>
        <v/>
      </c>
      <c r="E264" s="5"/>
      <c r="F264" s="2"/>
      <c r="G264" s="4" t="str">
        <f>IFERROR(INDEX('Trade Log'!$F$5:$F$204,MATCH(A264,'Trade Log'!$A$5:$A$204,0)),"")</f>
        <v/>
      </c>
      <c r="H264" s="4" t="str">
        <f>IFERROR(INDEX('Trade Log'!$I$5:$I$204,MATCH(A264,'Trade Log'!$A$5:$A$204,0)),"")</f>
        <v/>
      </c>
      <c r="I264" s="7"/>
      <c r="J264" s="8"/>
      <c r="K264" s="8"/>
      <c r="L264" s="8"/>
      <c r="M264" s="2"/>
      <c r="N264" s="9" t="str">
        <f t="shared" si="14"/>
        <v/>
      </c>
      <c r="O264" s="9" t="str">
        <f t="shared" si="15"/>
        <v/>
      </c>
      <c r="P264" s="9" t="str">
        <f>IF(A264="","",O264-(I264*INDEX('Trade Log'!$P$5:$P$204,MATCH(A264,'Trade Log'!$A$5:$A$204,0))*100)-IFERROR(INDEX('Trade Log'!$Q$5:$Q$204,MATCH(A264,'Trade Log'!$A$5:$A$204,0))*I264/INDEX('Trade Log'!$O$5:$O$204,MATCH(A264,'Trade Log'!$A$5:$A$204,0)),0))</f>
        <v/>
      </c>
      <c r="Q264" s="12" t="str">
        <f>IFERROR(P264/(I264*INDEX('Trade Log'!$P$5:$P$204,MATCH(A264,'Trade Log'!$A$5:$A$204,0))*100+IFERROR(INDEX('Trade Log'!$Q$5:$Q$204,MATCH(A264,'Trade Log'!$A$5:$A$204,0))*I264/INDEX('Trade Log'!$O$5:$O$204,MATCH(A264,'Trade Log'!$A$5:$A$204,0)),0)),"")</f>
        <v/>
      </c>
      <c r="R264" s="10"/>
    </row>
    <row r="265" spans="1:18">
      <c r="A265" s="2"/>
      <c r="B265" s="4" t="str">
        <f>IF(A265="","",COUNTIF($A$5:A265,A265))</f>
        <v/>
      </c>
      <c r="C265" s="3"/>
      <c r="D265" s="4" t="str">
        <f t="shared" si="13"/>
        <v/>
      </c>
      <c r="E265" s="5"/>
      <c r="F265" s="2"/>
      <c r="G265" s="4" t="str">
        <f>IFERROR(INDEX('Trade Log'!$F$5:$F$204,MATCH(A265,'Trade Log'!$A$5:$A$204,0)),"")</f>
        <v/>
      </c>
      <c r="H265" s="4" t="str">
        <f>IFERROR(INDEX('Trade Log'!$I$5:$I$204,MATCH(A265,'Trade Log'!$A$5:$A$204,0)),"")</f>
        <v/>
      </c>
      <c r="I265" s="7"/>
      <c r="J265" s="8"/>
      <c r="K265" s="8"/>
      <c r="L265" s="8"/>
      <c r="M265" s="2"/>
      <c r="N265" s="9" t="str">
        <f t="shared" si="14"/>
        <v/>
      </c>
      <c r="O265" s="9" t="str">
        <f t="shared" si="15"/>
        <v/>
      </c>
      <c r="P265" s="9" t="str">
        <f>IF(A265="","",O265-(I265*INDEX('Trade Log'!$P$5:$P$204,MATCH(A265,'Trade Log'!$A$5:$A$204,0))*100)-IFERROR(INDEX('Trade Log'!$Q$5:$Q$204,MATCH(A265,'Trade Log'!$A$5:$A$204,0))*I265/INDEX('Trade Log'!$O$5:$O$204,MATCH(A265,'Trade Log'!$A$5:$A$204,0)),0))</f>
        <v/>
      </c>
      <c r="Q265" s="12" t="str">
        <f>IFERROR(P265/(I265*INDEX('Trade Log'!$P$5:$P$204,MATCH(A265,'Trade Log'!$A$5:$A$204,0))*100+IFERROR(INDEX('Trade Log'!$Q$5:$Q$204,MATCH(A265,'Trade Log'!$A$5:$A$204,0))*I265/INDEX('Trade Log'!$O$5:$O$204,MATCH(A265,'Trade Log'!$A$5:$A$204,0)),0)),"")</f>
        <v/>
      </c>
      <c r="R265" s="10"/>
    </row>
    <row r="266" spans="1:18">
      <c r="A266" s="2"/>
      <c r="B266" s="4" t="str">
        <f>IF(A266="","",COUNTIF($A$5:A266,A266))</f>
        <v/>
      </c>
      <c r="C266" s="3"/>
      <c r="D266" s="4" t="str">
        <f t="shared" si="13"/>
        <v/>
      </c>
      <c r="E266" s="5"/>
      <c r="F266" s="2"/>
      <c r="G266" s="4" t="str">
        <f>IFERROR(INDEX('Trade Log'!$F$5:$F$204,MATCH(A266,'Trade Log'!$A$5:$A$204,0)),"")</f>
        <v/>
      </c>
      <c r="H266" s="4" t="str">
        <f>IFERROR(INDEX('Trade Log'!$I$5:$I$204,MATCH(A266,'Trade Log'!$A$5:$A$204,0)),"")</f>
        <v/>
      </c>
      <c r="I266" s="7"/>
      <c r="J266" s="8"/>
      <c r="K266" s="8"/>
      <c r="L266" s="8"/>
      <c r="M266" s="2"/>
      <c r="N266" s="9" t="str">
        <f t="shared" si="14"/>
        <v/>
      </c>
      <c r="O266" s="9" t="str">
        <f t="shared" si="15"/>
        <v/>
      </c>
      <c r="P266" s="9" t="str">
        <f>IF(A266="","",O266-(I266*INDEX('Trade Log'!$P$5:$P$204,MATCH(A266,'Trade Log'!$A$5:$A$204,0))*100)-IFERROR(INDEX('Trade Log'!$Q$5:$Q$204,MATCH(A266,'Trade Log'!$A$5:$A$204,0))*I266/INDEX('Trade Log'!$O$5:$O$204,MATCH(A266,'Trade Log'!$A$5:$A$204,0)),0))</f>
        <v/>
      </c>
      <c r="Q266" s="12" t="str">
        <f>IFERROR(P266/(I266*INDEX('Trade Log'!$P$5:$P$204,MATCH(A266,'Trade Log'!$A$5:$A$204,0))*100+IFERROR(INDEX('Trade Log'!$Q$5:$Q$204,MATCH(A266,'Trade Log'!$A$5:$A$204,0))*I266/INDEX('Trade Log'!$O$5:$O$204,MATCH(A266,'Trade Log'!$A$5:$A$204,0)),0)),"")</f>
        <v/>
      </c>
      <c r="R266" s="10"/>
    </row>
    <row r="267" spans="1:18">
      <c r="A267" s="2"/>
      <c r="B267" s="4" t="str">
        <f>IF(A267="","",COUNTIF($A$5:A267,A267))</f>
        <v/>
      </c>
      <c r="C267" s="3"/>
      <c r="D267" s="4" t="str">
        <f t="shared" si="13"/>
        <v/>
      </c>
      <c r="E267" s="5"/>
      <c r="F267" s="2"/>
      <c r="G267" s="4" t="str">
        <f>IFERROR(INDEX('Trade Log'!$F$5:$F$204,MATCH(A267,'Trade Log'!$A$5:$A$204,0)),"")</f>
        <v/>
      </c>
      <c r="H267" s="4" t="str">
        <f>IFERROR(INDEX('Trade Log'!$I$5:$I$204,MATCH(A267,'Trade Log'!$A$5:$A$204,0)),"")</f>
        <v/>
      </c>
      <c r="I267" s="7"/>
      <c r="J267" s="8"/>
      <c r="K267" s="8"/>
      <c r="L267" s="8"/>
      <c r="M267" s="2"/>
      <c r="N267" s="9" t="str">
        <f t="shared" si="14"/>
        <v/>
      </c>
      <c r="O267" s="9" t="str">
        <f t="shared" si="15"/>
        <v/>
      </c>
      <c r="P267" s="9" t="str">
        <f>IF(A267="","",O267-(I267*INDEX('Trade Log'!$P$5:$P$204,MATCH(A267,'Trade Log'!$A$5:$A$204,0))*100)-IFERROR(INDEX('Trade Log'!$Q$5:$Q$204,MATCH(A267,'Trade Log'!$A$5:$A$204,0))*I267/INDEX('Trade Log'!$O$5:$O$204,MATCH(A267,'Trade Log'!$A$5:$A$204,0)),0))</f>
        <v/>
      </c>
      <c r="Q267" s="12" t="str">
        <f>IFERROR(P267/(I267*INDEX('Trade Log'!$P$5:$P$204,MATCH(A267,'Trade Log'!$A$5:$A$204,0))*100+IFERROR(INDEX('Trade Log'!$Q$5:$Q$204,MATCH(A267,'Trade Log'!$A$5:$A$204,0))*I267/INDEX('Trade Log'!$O$5:$O$204,MATCH(A267,'Trade Log'!$A$5:$A$204,0)),0)),"")</f>
        <v/>
      </c>
      <c r="R267" s="10"/>
    </row>
    <row r="268" spans="1:18">
      <c r="A268" s="2"/>
      <c r="B268" s="4" t="str">
        <f>IF(A268="","",COUNTIF($A$5:A268,A268))</f>
        <v/>
      </c>
      <c r="C268" s="3"/>
      <c r="D268" s="4" t="str">
        <f t="shared" si="13"/>
        <v/>
      </c>
      <c r="E268" s="5"/>
      <c r="F268" s="2"/>
      <c r="G268" s="4" t="str">
        <f>IFERROR(INDEX('Trade Log'!$F$5:$F$204,MATCH(A268,'Trade Log'!$A$5:$A$204,0)),"")</f>
        <v/>
      </c>
      <c r="H268" s="4" t="str">
        <f>IFERROR(INDEX('Trade Log'!$I$5:$I$204,MATCH(A268,'Trade Log'!$A$5:$A$204,0)),"")</f>
        <v/>
      </c>
      <c r="I268" s="7"/>
      <c r="J268" s="8"/>
      <c r="K268" s="8"/>
      <c r="L268" s="8"/>
      <c r="M268" s="2"/>
      <c r="N268" s="9" t="str">
        <f t="shared" si="14"/>
        <v/>
      </c>
      <c r="O268" s="9" t="str">
        <f t="shared" si="15"/>
        <v/>
      </c>
      <c r="P268" s="9" t="str">
        <f>IF(A268="","",O268-(I268*INDEX('Trade Log'!$P$5:$P$204,MATCH(A268,'Trade Log'!$A$5:$A$204,0))*100)-IFERROR(INDEX('Trade Log'!$Q$5:$Q$204,MATCH(A268,'Trade Log'!$A$5:$A$204,0))*I268/INDEX('Trade Log'!$O$5:$O$204,MATCH(A268,'Trade Log'!$A$5:$A$204,0)),0))</f>
        <v/>
      </c>
      <c r="Q268" s="12" t="str">
        <f>IFERROR(P268/(I268*INDEX('Trade Log'!$P$5:$P$204,MATCH(A268,'Trade Log'!$A$5:$A$204,0))*100+IFERROR(INDEX('Trade Log'!$Q$5:$Q$204,MATCH(A268,'Trade Log'!$A$5:$A$204,0))*I268/INDEX('Trade Log'!$O$5:$O$204,MATCH(A268,'Trade Log'!$A$5:$A$204,0)),0)),"")</f>
        <v/>
      </c>
      <c r="R268" s="10"/>
    </row>
    <row r="269" spans="1:18">
      <c r="A269" s="2"/>
      <c r="B269" s="4" t="str">
        <f>IF(A269="","",COUNTIF($A$5:A269,A269))</f>
        <v/>
      </c>
      <c r="C269" s="3"/>
      <c r="D269" s="4" t="str">
        <f t="shared" si="13"/>
        <v/>
      </c>
      <c r="E269" s="5"/>
      <c r="F269" s="2"/>
      <c r="G269" s="4" t="str">
        <f>IFERROR(INDEX('Trade Log'!$F$5:$F$204,MATCH(A269,'Trade Log'!$A$5:$A$204,0)),"")</f>
        <v/>
      </c>
      <c r="H269" s="4" t="str">
        <f>IFERROR(INDEX('Trade Log'!$I$5:$I$204,MATCH(A269,'Trade Log'!$A$5:$A$204,0)),"")</f>
        <v/>
      </c>
      <c r="I269" s="7"/>
      <c r="J269" s="8"/>
      <c r="K269" s="8"/>
      <c r="L269" s="8"/>
      <c r="M269" s="2"/>
      <c r="N269" s="9" t="str">
        <f t="shared" si="14"/>
        <v/>
      </c>
      <c r="O269" s="9" t="str">
        <f t="shared" si="15"/>
        <v/>
      </c>
      <c r="P269" s="9" t="str">
        <f>IF(A269="","",O269-(I269*INDEX('Trade Log'!$P$5:$P$204,MATCH(A269,'Trade Log'!$A$5:$A$204,0))*100)-IFERROR(INDEX('Trade Log'!$Q$5:$Q$204,MATCH(A269,'Trade Log'!$A$5:$A$204,0))*I269/INDEX('Trade Log'!$O$5:$O$204,MATCH(A269,'Trade Log'!$A$5:$A$204,0)),0))</f>
        <v/>
      </c>
      <c r="Q269" s="12" t="str">
        <f>IFERROR(P269/(I269*INDEX('Trade Log'!$P$5:$P$204,MATCH(A269,'Trade Log'!$A$5:$A$204,0))*100+IFERROR(INDEX('Trade Log'!$Q$5:$Q$204,MATCH(A269,'Trade Log'!$A$5:$A$204,0))*I269/INDEX('Trade Log'!$O$5:$O$204,MATCH(A269,'Trade Log'!$A$5:$A$204,0)),0)),"")</f>
        <v/>
      </c>
      <c r="R269" s="10"/>
    </row>
    <row r="270" spans="1:18">
      <c r="A270" s="2"/>
      <c r="B270" s="4" t="str">
        <f>IF(A270="","",COUNTIF($A$5:A270,A270))</f>
        <v/>
      </c>
      <c r="C270" s="3"/>
      <c r="D270" s="4" t="str">
        <f t="shared" si="13"/>
        <v/>
      </c>
      <c r="E270" s="5"/>
      <c r="F270" s="2"/>
      <c r="G270" s="4" t="str">
        <f>IFERROR(INDEX('Trade Log'!$F$5:$F$204,MATCH(A270,'Trade Log'!$A$5:$A$204,0)),"")</f>
        <v/>
      </c>
      <c r="H270" s="4" t="str">
        <f>IFERROR(INDEX('Trade Log'!$I$5:$I$204,MATCH(A270,'Trade Log'!$A$5:$A$204,0)),"")</f>
        <v/>
      </c>
      <c r="I270" s="7"/>
      <c r="J270" s="8"/>
      <c r="K270" s="8"/>
      <c r="L270" s="8"/>
      <c r="M270" s="2"/>
      <c r="N270" s="9" t="str">
        <f t="shared" si="14"/>
        <v/>
      </c>
      <c r="O270" s="9" t="str">
        <f t="shared" si="15"/>
        <v/>
      </c>
      <c r="P270" s="9" t="str">
        <f>IF(A270="","",O270-(I270*INDEX('Trade Log'!$P$5:$P$204,MATCH(A270,'Trade Log'!$A$5:$A$204,0))*100)-IFERROR(INDEX('Trade Log'!$Q$5:$Q$204,MATCH(A270,'Trade Log'!$A$5:$A$204,0))*I270/INDEX('Trade Log'!$O$5:$O$204,MATCH(A270,'Trade Log'!$A$5:$A$204,0)),0))</f>
        <v/>
      </c>
      <c r="Q270" s="12" t="str">
        <f>IFERROR(P270/(I270*INDEX('Trade Log'!$P$5:$P$204,MATCH(A270,'Trade Log'!$A$5:$A$204,0))*100+IFERROR(INDEX('Trade Log'!$Q$5:$Q$204,MATCH(A270,'Trade Log'!$A$5:$A$204,0))*I270/INDEX('Trade Log'!$O$5:$O$204,MATCH(A270,'Trade Log'!$A$5:$A$204,0)),0)),"")</f>
        <v/>
      </c>
      <c r="R270" s="10"/>
    </row>
    <row r="271" spans="1:18">
      <c r="A271" s="2"/>
      <c r="B271" s="4" t="str">
        <f>IF(A271="","",COUNTIF($A$5:A271,A271))</f>
        <v/>
      </c>
      <c r="C271" s="3"/>
      <c r="D271" s="4" t="str">
        <f t="shared" si="13"/>
        <v/>
      </c>
      <c r="E271" s="5"/>
      <c r="F271" s="2"/>
      <c r="G271" s="4" t="str">
        <f>IFERROR(INDEX('Trade Log'!$F$5:$F$204,MATCH(A271,'Trade Log'!$A$5:$A$204,0)),"")</f>
        <v/>
      </c>
      <c r="H271" s="4" t="str">
        <f>IFERROR(INDEX('Trade Log'!$I$5:$I$204,MATCH(A271,'Trade Log'!$A$5:$A$204,0)),"")</f>
        <v/>
      </c>
      <c r="I271" s="7"/>
      <c r="J271" s="8"/>
      <c r="K271" s="8"/>
      <c r="L271" s="8"/>
      <c r="M271" s="2"/>
      <c r="N271" s="9" t="str">
        <f t="shared" si="14"/>
        <v/>
      </c>
      <c r="O271" s="9" t="str">
        <f t="shared" si="15"/>
        <v/>
      </c>
      <c r="P271" s="9" t="str">
        <f>IF(A271="","",O271-(I271*INDEX('Trade Log'!$P$5:$P$204,MATCH(A271,'Trade Log'!$A$5:$A$204,0))*100)-IFERROR(INDEX('Trade Log'!$Q$5:$Q$204,MATCH(A271,'Trade Log'!$A$5:$A$204,0))*I271/INDEX('Trade Log'!$O$5:$O$204,MATCH(A271,'Trade Log'!$A$5:$A$204,0)),0))</f>
        <v/>
      </c>
      <c r="Q271" s="12" t="str">
        <f>IFERROR(P271/(I271*INDEX('Trade Log'!$P$5:$P$204,MATCH(A271,'Trade Log'!$A$5:$A$204,0))*100+IFERROR(INDEX('Trade Log'!$Q$5:$Q$204,MATCH(A271,'Trade Log'!$A$5:$A$204,0))*I271/INDEX('Trade Log'!$O$5:$O$204,MATCH(A271,'Trade Log'!$A$5:$A$204,0)),0)),"")</f>
        <v/>
      </c>
      <c r="R271" s="10"/>
    </row>
    <row r="272" spans="1:18">
      <c r="A272" s="2"/>
      <c r="B272" s="4" t="str">
        <f>IF(A272="","",COUNTIF($A$5:A272,A272))</f>
        <v/>
      </c>
      <c r="C272" s="3"/>
      <c r="D272" s="4" t="str">
        <f t="shared" si="13"/>
        <v/>
      </c>
      <c r="E272" s="5"/>
      <c r="F272" s="2"/>
      <c r="G272" s="4" t="str">
        <f>IFERROR(INDEX('Trade Log'!$F$5:$F$204,MATCH(A272,'Trade Log'!$A$5:$A$204,0)),"")</f>
        <v/>
      </c>
      <c r="H272" s="4" t="str">
        <f>IFERROR(INDEX('Trade Log'!$I$5:$I$204,MATCH(A272,'Trade Log'!$A$5:$A$204,0)),"")</f>
        <v/>
      </c>
      <c r="I272" s="7"/>
      <c r="J272" s="8"/>
      <c r="K272" s="8"/>
      <c r="L272" s="8"/>
      <c r="M272" s="2"/>
      <c r="N272" s="9" t="str">
        <f t="shared" si="14"/>
        <v/>
      </c>
      <c r="O272" s="9" t="str">
        <f t="shared" si="15"/>
        <v/>
      </c>
      <c r="P272" s="9" t="str">
        <f>IF(A272="","",O272-(I272*INDEX('Trade Log'!$P$5:$P$204,MATCH(A272,'Trade Log'!$A$5:$A$204,0))*100)-IFERROR(INDEX('Trade Log'!$Q$5:$Q$204,MATCH(A272,'Trade Log'!$A$5:$A$204,0))*I272/INDEX('Trade Log'!$O$5:$O$204,MATCH(A272,'Trade Log'!$A$5:$A$204,0)),0))</f>
        <v/>
      </c>
      <c r="Q272" s="12" t="str">
        <f>IFERROR(P272/(I272*INDEX('Trade Log'!$P$5:$P$204,MATCH(A272,'Trade Log'!$A$5:$A$204,0))*100+IFERROR(INDEX('Trade Log'!$Q$5:$Q$204,MATCH(A272,'Trade Log'!$A$5:$A$204,0))*I272/INDEX('Trade Log'!$O$5:$O$204,MATCH(A272,'Trade Log'!$A$5:$A$204,0)),0)),"")</f>
        <v/>
      </c>
      <c r="R272" s="10"/>
    </row>
    <row r="273" spans="1:18">
      <c r="A273" s="2"/>
      <c r="B273" s="4" t="str">
        <f>IF(A273="","",COUNTIF($A$5:A273,A273))</f>
        <v/>
      </c>
      <c r="C273" s="3"/>
      <c r="D273" s="4" t="str">
        <f t="shared" si="13"/>
        <v/>
      </c>
      <c r="E273" s="5"/>
      <c r="F273" s="2"/>
      <c r="G273" s="4" t="str">
        <f>IFERROR(INDEX('Trade Log'!$F$5:$F$204,MATCH(A273,'Trade Log'!$A$5:$A$204,0)),"")</f>
        <v/>
      </c>
      <c r="H273" s="4" t="str">
        <f>IFERROR(INDEX('Trade Log'!$I$5:$I$204,MATCH(A273,'Trade Log'!$A$5:$A$204,0)),"")</f>
        <v/>
      </c>
      <c r="I273" s="7"/>
      <c r="J273" s="8"/>
      <c r="K273" s="8"/>
      <c r="L273" s="8"/>
      <c r="M273" s="2"/>
      <c r="N273" s="9" t="str">
        <f t="shared" si="14"/>
        <v/>
      </c>
      <c r="O273" s="9" t="str">
        <f t="shared" si="15"/>
        <v/>
      </c>
      <c r="P273" s="9" t="str">
        <f>IF(A273="","",O273-(I273*INDEX('Trade Log'!$P$5:$P$204,MATCH(A273,'Trade Log'!$A$5:$A$204,0))*100)-IFERROR(INDEX('Trade Log'!$Q$5:$Q$204,MATCH(A273,'Trade Log'!$A$5:$A$204,0))*I273/INDEX('Trade Log'!$O$5:$O$204,MATCH(A273,'Trade Log'!$A$5:$A$204,0)),0))</f>
        <v/>
      </c>
      <c r="Q273" s="12" t="str">
        <f>IFERROR(P273/(I273*INDEX('Trade Log'!$P$5:$P$204,MATCH(A273,'Trade Log'!$A$5:$A$204,0))*100+IFERROR(INDEX('Trade Log'!$Q$5:$Q$204,MATCH(A273,'Trade Log'!$A$5:$A$204,0))*I273/INDEX('Trade Log'!$O$5:$O$204,MATCH(A273,'Trade Log'!$A$5:$A$204,0)),0)),"")</f>
        <v/>
      </c>
      <c r="R273" s="10"/>
    </row>
    <row r="274" spans="1:18">
      <c r="A274" s="2"/>
      <c r="B274" s="4" t="str">
        <f>IF(A274="","",COUNTIF($A$5:A274,A274))</f>
        <v/>
      </c>
      <c r="C274" s="3"/>
      <c r="D274" s="4" t="str">
        <f t="shared" si="13"/>
        <v/>
      </c>
      <c r="E274" s="5"/>
      <c r="F274" s="2"/>
      <c r="G274" s="4" t="str">
        <f>IFERROR(INDEX('Trade Log'!$F$5:$F$204,MATCH(A274,'Trade Log'!$A$5:$A$204,0)),"")</f>
        <v/>
      </c>
      <c r="H274" s="4" t="str">
        <f>IFERROR(INDEX('Trade Log'!$I$5:$I$204,MATCH(A274,'Trade Log'!$A$5:$A$204,0)),"")</f>
        <v/>
      </c>
      <c r="I274" s="7"/>
      <c r="J274" s="8"/>
      <c r="K274" s="8"/>
      <c r="L274" s="8"/>
      <c r="M274" s="2"/>
      <c r="N274" s="9" t="str">
        <f t="shared" si="14"/>
        <v/>
      </c>
      <c r="O274" s="9" t="str">
        <f t="shared" si="15"/>
        <v/>
      </c>
      <c r="P274" s="9" t="str">
        <f>IF(A274="","",O274-(I274*INDEX('Trade Log'!$P$5:$P$204,MATCH(A274,'Trade Log'!$A$5:$A$204,0))*100)-IFERROR(INDEX('Trade Log'!$Q$5:$Q$204,MATCH(A274,'Trade Log'!$A$5:$A$204,0))*I274/INDEX('Trade Log'!$O$5:$O$204,MATCH(A274,'Trade Log'!$A$5:$A$204,0)),0))</f>
        <v/>
      </c>
      <c r="Q274" s="12" t="str">
        <f>IFERROR(P274/(I274*INDEX('Trade Log'!$P$5:$P$204,MATCH(A274,'Trade Log'!$A$5:$A$204,0))*100+IFERROR(INDEX('Trade Log'!$Q$5:$Q$204,MATCH(A274,'Trade Log'!$A$5:$A$204,0))*I274/INDEX('Trade Log'!$O$5:$O$204,MATCH(A274,'Trade Log'!$A$5:$A$204,0)),0)),"")</f>
        <v/>
      </c>
      <c r="R274" s="10"/>
    </row>
    <row r="275" spans="1:18">
      <c r="A275" s="2"/>
      <c r="B275" s="4" t="str">
        <f>IF(A275="","",COUNTIF($A$5:A275,A275))</f>
        <v/>
      </c>
      <c r="C275" s="3"/>
      <c r="D275" s="4" t="str">
        <f t="shared" si="13"/>
        <v/>
      </c>
      <c r="E275" s="5"/>
      <c r="F275" s="2"/>
      <c r="G275" s="4" t="str">
        <f>IFERROR(INDEX('Trade Log'!$F$5:$F$204,MATCH(A275,'Trade Log'!$A$5:$A$204,0)),"")</f>
        <v/>
      </c>
      <c r="H275" s="4" t="str">
        <f>IFERROR(INDEX('Trade Log'!$I$5:$I$204,MATCH(A275,'Trade Log'!$A$5:$A$204,0)),"")</f>
        <v/>
      </c>
      <c r="I275" s="7"/>
      <c r="J275" s="8"/>
      <c r="K275" s="8"/>
      <c r="L275" s="8"/>
      <c r="M275" s="2"/>
      <c r="N275" s="9" t="str">
        <f t="shared" si="14"/>
        <v/>
      </c>
      <c r="O275" s="9" t="str">
        <f t="shared" si="15"/>
        <v/>
      </c>
      <c r="P275" s="9" t="str">
        <f>IF(A275="","",O275-(I275*INDEX('Trade Log'!$P$5:$P$204,MATCH(A275,'Trade Log'!$A$5:$A$204,0))*100)-IFERROR(INDEX('Trade Log'!$Q$5:$Q$204,MATCH(A275,'Trade Log'!$A$5:$A$204,0))*I275/INDEX('Trade Log'!$O$5:$O$204,MATCH(A275,'Trade Log'!$A$5:$A$204,0)),0))</f>
        <v/>
      </c>
      <c r="Q275" s="12" t="str">
        <f>IFERROR(P275/(I275*INDEX('Trade Log'!$P$5:$P$204,MATCH(A275,'Trade Log'!$A$5:$A$204,0))*100+IFERROR(INDEX('Trade Log'!$Q$5:$Q$204,MATCH(A275,'Trade Log'!$A$5:$A$204,0))*I275/INDEX('Trade Log'!$O$5:$O$204,MATCH(A275,'Trade Log'!$A$5:$A$204,0)),0)),"")</f>
        <v/>
      </c>
      <c r="R275" s="10"/>
    </row>
    <row r="276" spans="1:18">
      <c r="A276" s="2"/>
      <c r="B276" s="4" t="str">
        <f>IF(A276="","",COUNTIF($A$5:A276,A276))</f>
        <v/>
      </c>
      <c r="C276" s="3"/>
      <c r="D276" s="4" t="str">
        <f t="shared" si="13"/>
        <v/>
      </c>
      <c r="E276" s="5"/>
      <c r="F276" s="2"/>
      <c r="G276" s="4" t="str">
        <f>IFERROR(INDEX('Trade Log'!$F$5:$F$204,MATCH(A276,'Trade Log'!$A$5:$A$204,0)),"")</f>
        <v/>
      </c>
      <c r="H276" s="4" t="str">
        <f>IFERROR(INDEX('Trade Log'!$I$5:$I$204,MATCH(A276,'Trade Log'!$A$5:$A$204,0)),"")</f>
        <v/>
      </c>
      <c r="I276" s="7"/>
      <c r="J276" s="8"/>
      <c r="K276" s="8"/>
      <c r="L276" s="8"/>
      <c r="M276" s="2"/>
      <c r="N276" s="9" t="str">
        <f t="shared" si="14"/>
        <v/>
      </c>
      <c r="O276" s="9" t="str">
        <f t="shared" si="15"/>
        <v/>
      </c>
      <c r="P276" s="9" t="str">
        <f>IF(A276="","",O276-(I276*INDEX('Trade Log'!$P$5:$P$204,MATCH(A276,'Trade Log'!$A$5:$A$204,0))*100)-IFERROR(INDEX('Trade Log'!$Q$5:$Q$204,MATCH(A276,'Trade Log'!$A$5:$A$204,0))*I276/INDEX('Trade Log'!$O$5:$O$204,MATCH(A276,'Trade Log'!$A$5:$A$204,0)),0))</f>
        <v/>
      </c>
      <c r="Q276" s="12" t="str">
        <f>IFERROR(P276/(I276*INDEX('Trade Log'!$P$5:$P$204,MATCH(A276,'Trade Log'!$A$5:$A$204,0))*100+IFERROR(INDEX('Trade Log'!$Q$5:$Q$204,MATCH(A276,'Trade Log'!$A$5:$A$204,0))*I276/INDEX('Trade Log'!$O$5:$O$204,MATCH(A276,'Trade Log'!$A$5:$A$204,0)),0)),"")</f>
        <v/>
      </c>
      <c r="R276" s="10"/>
    </row>
    <row r="277" spans="1:18">
      <c r="A277" s="2"/>
      <c r="B277" s="4" t="str">
        <f>IF(A277="","",COUNTIF($A$5:A277,A277))</f>
        <v/>
      </c>
      <c r="C277" s="3"/>
      <c r="D277" s="4" t="str">
        <f t="shared" si="13"/>
        <v/>
      </c>
      <c r="E277" s="5"/>
      <c r="F277" s="2"/>
      <c r="G277" s="4" t="str">
        <f>IFERROR(INDEX('Trade Log'!$F$5:$F$204,MATCH(A277,'Trade Log'!$A$5:$A$204,0)),"")</f>
        <v/>
      </c>
      <c r="H277" s="4" t="str">
        <f>IFERROR(INDEX('Trade Log'!$I$5:$I$204,MATCH(A277,'Trade Log'!$A$5:$A$204,0)),"")</f>
        <v/>
      </c>
      <c r="I277" s="7"/>
      <c r="J277" s="8"/>
      <c r="K277" s="8"/>
      <c r="L277" s="8"/>
      <c r="M277" s="2"/>
      <c r="N277" s="9" t="str">
        <f t="shared" si="14"/>
        <v/>
      </c>
      <c r="O277" s="9" t="str">
        <f t="shared" si="15"/>
        <v/>
      </c>
      <c r="P277" s="9" t="str">
        <f>IF(A277="","",O277-(I277*INDEX('Trade Log'!$P$5:$P$204,MATCH(A277,'Trade Log'!$A$5:$A$204,0))*100)-IFERROR(INDEX('Trade Log'!$Q$5:$Q$204,MATCH(A277,'Trade Log'!$A$5:$A$204,0))*I277/INDEX('Trade Log'!$O$5:$O$204,MATCH(A277,'Trade Log'!$A$5:$A$204,0)),0))</f>
        <v/>
      </c>
      <c r="Q277" s="12" t="str">
        <f>IFERROR(P277/(I277*INDEX('Trade Log'!$P$5:$P$204,MATCH(A277,'Trade Log'!$A$5:$A$204,0))*100+IFERROR(INDEX('Trade Log'!$Q$5:$Q$204,MATCH(A277,'Trade Log'!$A$5:$A$204,0))*I277/INDEX('Trade Log'!$O$5:$O$204,MATCH(A277,'Trade Log'!$A$5:$A$204,0)),0)),"")</f>
        <v/>
      </c>
      <c r="R277" s="10"/>
    </row>
    <row r="278" spans="1:18">
      <c r="A278" s="2"/>
      <c r="B278" s="4" t="str">
        <f>IF(A278="","",COUNTIF($A$5:A278,A278))</f>
        <v/>
      </c>
      <c r="C278" s="3"/>
      <c r="D278" s="4" t="str">
        <f t="shared" si="13"/>
        <v/>
      </c>
      <c r="E278" s="5"/>
      <c r="F278" s="2"/>
      <c r="G278" s="4" t="str">
        <f>IFERROR(INDEX('Trade Log'!$F$5:$F$204,MATCH(A278,'Trade Log'!$A$5:$A$204,0)),"")</f>
        <v/>
      </c>
      <c r="H278" s="4" t="str">
        <f>IFERROR(INDEX('Trade Log'!$I$5:$I$204,MATCH(A278,'Trade Log'!$A$5:$A$204,0)),"")</f>
        <v/>
      </c>
      <c r="I278" s="7"/>
      <c r="J278" s="8"/>
      <c r="K278" s="8"/>
      <c r="L278" s="8"/>
      <c r="M278" s="2"/>
      <c r="N278" s="9" t="str">
        <f t="shared" si="14"/>
        <v/>
      </c>
      <c r="O278" s="9" t="str">
        <f t="shared" si="15"/>
        <v/>
      </c>
      <c r="P278" s="9" t="str">
        <f>IF(A278="","",O278-(I278*INDEX('Trade Log'!$P$5:$P$204,MATCH(A278,'Trade Log'!$A$5:$A$204,0))*100)-IFERROR(INDEX('Trade Log'!$Q$5:$Q$204,MATCH(A278,'Trade Log'!$A$5:$A$204,0))*I278/INDEX('Trade Log'!$O$5:$O$204,MATCH(A278,'Trade Log'!$A$5:$A$204,0)),0))</f>
        <v/>
      </c>
      <c r="Q278" s="12" t="str">
        <f>IFERROR(P278/(I278*INDEX('Trade Log'!$P$5:$P$204,MATCH(A278,'Trade Log'!$A$5:$A$204,0))*100+IFERROR(INDEX('Trade Log'!$Q$5:$Q$204,MATCH(A278,'Trade Log'!$A$5:$A$204,0))*I278/INDEX('Trade Log'!$O$5:$O$204,MATCH(A278,'Trade Log'!$A$5:$A$204,0)),0)),"")</f>
        <v/>
      </c>
      <c r="R278" s="10"/>
    </row>
    <row r="279" spans="1:18">
      <c r="A279" s="2"/>
      <c r="B279" s="4" t="str">
        <f>IF(A279="","",COUNTIF($A$5:A279,A279))</f>
        <v/>
      </c>
      <c r="C279" s="3"/>
      <c r="D279" s="4" t="str">
        <f t="shared" si="13"/>
        <v/>
      </c>
      <c r="E279" s="5"/>
      <c r="F279" s="2"/>
      <c r="G279" s="4" t="str">
        <f>IFERROR(INDEX('Trade Log'!$F$5:$F$204,MATCH(A279,'Trade Log'!$A$5:$A$204,0)),"")</f>
        <v/>
      </c>
      <c r="H279" s="4" t="str">
        <f>IFERROR(INDEX('Trade Log'!$I$5:$I$204,MATCH(A279,'Trade Log'!$A$5:$A$204,0)),"")</f>
        <v/>
      </c>
      <c r="I279" s="7"/>
      <c r="J279" s="8"/>
      <c r="K279" s="8"/>
      <c r="L279" s="8"/>
      <c r="M279" s="2"/>
      <c r="N279" s="9" t="str">
        <f t="shared" si="14"/>
        <v/>
      </c>
      <c r="O279" s="9" t="str">
        <f t="shared" si="15"/>
        <v/>
      </c>
      <c r="P279" s="9" t="str">
        <f>IF(A279="","",O279-(I279*INDEX('Trade Log'!$P$5:$P$204,MATCH(A279,'Trade Log'!$A$5:$A$204,0))*100)-IFERROR(INDEX('Trade Log'!$Q$5:$Q$204,MATCH(A279,'Trade Log'!$A$5:$A$204,0))*I279/INDEX('Trade Log'!$O$5:$O$204,MATCH(A279,'Trade Log'!$A$5:$A$204,0)),0))</f>
        <v/>
      </c>
      <c r="Q279" s="12" t="str">
        <f>IFERROR(P279/(I279*INDEX('Trade Log'!$P$5:$P$204,MATCH(A279,'Trade Log'!$A$5:$A$204,0))*100+IFERROR(INDEX('Trade Log'!$Q$5:$Q$204,MATCH(A279,'Trade Log'!$A$5:$A$204,0))*I279/INDEX('Trade Log'!$O$5:$O$204,MATCH(A279,'Trade Log'!$A$5:$A$204,0)),0)),"")</f>
        <v/>
      </c>
      <c r="R279" s="10"/>
    </row>
    <row r="280" spans="1:18">
      <c r="A280" s="2"/>
      <c r="B280" s="4" t="str">
        <f>IF(A280="","",COUNTIF($A$5:A280,A280))</f>
        <v/>
      </c>
      <c r="C280" s="3"/>
      <c r="D280" s="4" t="str">
        <f t="shared" si="13"/>
        <v/>
      </c>
      <c r="E280" s="5"/>
      <c r="F280" s="2"/>
      <c r="G280" s="4" t="str">
        <f>IFERROR(INDEX('Trade Log'!$F$5:$F$204,MATCH(A280,'Trade Log'!$A$5:$A$204,0)),"")</f>
        <v/>
      </c>
      <c r="H280" s="4" t="str">
        <f>IFERROR(INDEX('Trade Log'!$I$5:$I$204,MATCH(A280,'Trade Log'!$A$5:$A$204,0)),"")</f>
        <v/>
      </c>
      <c r="I280" s="7"/>
      <c r="J280" s="8"/>
      <c r="K280" s="8"/>
      <c r="L280" s="8"/>
      <c r="M280" s="2"/>
      <c r="N280" s="9" t="str">
        <f t="shared" si="14"/>
        <v/>
      </c>
      <c r="O280" s="9" t="str">
        <f t="shared" si="15"/>
        <v/>
      </c>
      <c r="P280" s="9" t="str">
        <f>IF(A280="","",O280-(I280*INDEX('Trade Log'!$P$5:$P$204,MATCH(A280,'Trade Log'!$A$5:$A$204,0))*100)-IFERROR(INDEX('Trade Log'!$Q$5:$Q$204,MATCH(A280,'Trade Log'!$A$5:$A$204,0))*I280/INDEX('Trade Log'!$O$5:$O$204,MATCH(A280,'Trade Log'!$A$5:$A$204,0)),0))</f>
        <v/>
      </c>
      <c r="Q280" s="12" t="str">
        <f>IFERROR(P280/(I280*INDEX('Trade Log'!$P$5:$P$204,MATCH(A280,'Trade Log'!$A$5:$A$204,0))*100+IFERROR(INDEX('Trade Log'!$Q$5:$Q$204,MATCH(A280,'Trade Log'!$A$5:$A$204,0))*I280/INDEX('Trade Log'!$O$5:$O$204,MATCH(A280,'Trade Log'!$A$5:$A$204,0)),0)),"")</f>
        <v/>
      </c>
      <c r="R280" s="10"/>
    </row>
    <row r="281" spans="1:18">
      <c r="A281" s="2"/>
      <c r="B281" s="4" t="str">
        <f>IF(A281="","",COUNTIF($A$5:A281,A281))</f>
        <v/>
      </c>
      <c r="C281" s="3"/>
      <c r="D281" s="4" t="str">
        <f t="shared" si="13"/>
        <v/>
      </c>
      <c r="E281" s="5"/>
      <c r="F281" s="2"/>
      <c r="G281" s="4" t="str">
        <f>IFERROR(INDEX('Trade Log'!$F$5:$F$204,MATCH(A281,'Trade Log'!$A$5:$A$204,0)),"")</f>
        <v/>
      </c>
      <c r="H281" s="4" t="str">
        <f>IFERROR(INDEX('Trade Log'!$I$5:$I$204,MATCH(A281,'Trade Log'!$A$5:$A$204,0)),"")</f>
        <v/>
      </c>
      <c r="I281" s="7"/>
      <c r="J281" s="8"/>
      <c r="K281" s="8"/>
      <c r="L281" s="8"/>
      <c r="M281" s="2"/>
      <c r="N281" s="9" t="str">
        <f t="shared" si="14"/>
        <v/>
      </c>
      <c r="O281" s="9" t="str">
        <f t="shared" si="15"/>
        <v/>
      </c>
      <c r="P281" s="9" t="str">
        <f>IF(A281="","",O281-(I281*INDEX('Trade Log'!$P$5:$P$204,MATCH(A281,'Trade Log'!$A$5:$A$204,0))*100)-IFERROR(INDEX('Trade Log'!$Q$5:$Q$204,MATCH(A281,'Trade Log'!$A$5:$A$204,0))*I281/INDEX('Trade Log'!$O$5:$O$204,MATCH(A281,'Trade Log'!$A$5:$A$204,0)),0))</f>
        <v/>
      </c>
      <c r="Q281" s="12" t="str">
        <f>IFERROR(P281/(I281*INDEX('Trade Log'!$P$5:$P$204,MATCH(A281,'Trade Log'!$A$5:$A$204,0))*100+IFERROR(INDEX('Trade Log'!$Q$5:$Q$204,MATCH(A281,'Trade Log'!$A$5:$A$204,0))*I281/INDEX('Trade Log'!$O$5:$O$204,MATCH(A281,'Trade Log'!$A$5:$A$204,0)),0)),"")</f>
        <v/>
      </c>
      <c r="R281" s="10"/>
    </row>
    <row r="282" spans="1:18">
      <c r="A282" s="2"/>
      <c r="B282" s="4" t="str">
        <f>IF(A282="","",COUNTIF($A$5:A282,A282))</f>
        <v/>
      </c>
      <c r="C282" s="3"/>
      <c r="D282" s="4" t="str">
        <f t="shared" si="13"/>
        <v/>
      </c>
      <c r="E282" s="5"/>
      <c r="F282" s="2"/>
      <c r="G282" s="4" t="str">
        <f>IFERROR(INDEX('Trade Log'!$F$5:$F$204,MATCH(A282,'Trade Log'!$A$5:$A$204,0)),"")</f>
        <v/>
      </c>
      <c r="H282" s="4" t="str">
        <f>IFERROR(INDEX('Trade Log'!$I$5:$I$204,MATCH(A282,'Trade Log'!$A$5:$A$204,0)),"")</f>
        <v/>
      </c>
      <c r="I282" s="7"/>
      <c r="J282" s="8"/>
      <c r="K282" s="8"/>
      <c r="L282" s="8"/>
      <c r="M282" s="2"/>
      <c r="N282" s="9" t="str">
        <f t="shared" si="14"/>
        <v/>
      </c>
      <c r="O282" s="9" t="str">
        <f t="shared" si="15"/>
        <v/>
      </c>
      <c r="P282" s="9" t="str">
        <f>IF(A282="","",O282-(I282*INDEX('Trade Log'!$P$5:$P$204,MATCH(A282,'Trade Log'!$A$5:$A$204,0))*100)-IFERROR(INDEX('Trade Log'!$Q$5:$Q$204,MATCH(A282,'Trade Log'!$A$5:$A$204,0))*I282/INDEX('Trade Log'!$O$5:$O$204,MATCH(A282,'Trade Log'!$A$5:$A$204,0)),0))</f>
        <v/>
      </c>
      <c r="Q282" s="12" t="str">
        <f>IFERROR(P282/(I282*INDEX('Trade Log'!$P$5:$P$204,MATCH(A282,'Trade Log'!$A$5:$A$204,0))*100+IFERROR(INDEX('Trade Log'!$Q$5:$Q$204,MATCH(A282,'Trade Log'!$A$5:$A$204,0))*I282/INDEX('Trade Log'!$O$5:$O$204,MATCH(A282,'Trade Log'!$A$5:$A$204,0)),0)),"")</f>
        <v/>
      </c>
      <c r="R282" s="10"/>
    </row>
    <row r="283" spans="1:18">
      <c r="A283" s="2"/>
      <c r="B283" s="4" t="str">
        <f>IF(A283="","",COUNTIF($A$5:A283,A283))</f>
        <v/>
      </c>
      <c r="C283" s="3"/>
      <c r="D283" s="4" t="str">
        <f t="shared" si="13"/>
        <v/>
      </c>
      <c r="E283" s="5"/>
      <c r="F283" s="2"/>
      <c r="G283" s="4" t="str">
        <f>IFERROR(INDEX('Trade Log'!$F$5:$F$204,MATCH(A283,'Trade Log'!$A$5:$A$204,0)),"")</f>
        <v/>
      </c>
      <c r="H283" s="4" t="str">
        <f>IFERROR(INDEX('Trade Log'!$I$5:$I$204,MATCH(A283,'Trade Log'!$A$5:$A$204,0)),"")</f>
        <v/>
      </c>
      <c r="I283" s="7"/>
      <c r="J283" s="8"/>
      <c r="K283" s="8"/>
      <c r="L283" s="8"/>
      <c r="M283" s="2"/>
      <c r="N283" s="9" t="str">
        <f t="shared" si="14"/>
        <v/>
      </c>
      <c r="O283" s="9" t="str">
        <f t="shared" si="15"/>
        <v/>
      </c>
      <c r="P283" s="9" t="str">
        <f>IF(A283="","",O283-(I283*INDEX('Trade Log'!$P$5:$P$204,MATCH(A283,'Trade Log'!$A$5:$A$204,0))*100)-IFERROR(INDEX('Trade Log'!$Q$5:$Q$204,MATCH(A283,'Trade Log'!$A$5:$A$204,0))*I283/INDEX('Trade Log'!$O$5:$O$204,MATCH(A283,'Trade Log'!$A$5:$A$204,0)),0))</f>
        <v/>
      </c>
      <c r="Q283" s="12" t="str">
        <f>IFERROR(P283/(I283*INDEX('Trade Log'!$P$5:$P$204,MATCH(A283,'Trade Log'!$A$5:$A$204,0))*100+IFERROR(INDEX('Trade Log'!$Q$5:$Q$204,MATCH(A283,'Trade Log'!$A$5:$A$204,0))*I283/INDEX('Trade Log'!$O$5:$O$204,MATCH(A283,'Trade Log'!$A$5:$A$204,0)),0)),"")</f>
        <v/>
      </c>
      <c r="R283" s="10"/>
    </row>
    <row r="284" spans="1:18">
      <c r="A284" s="2"/>
      <c r="B284" s="4" t="str">
        <f>IF(A284="","",COUNTIF($A$5:A284,A284))</f>
        <v/>
      </c>
      <c r="C284" s="3"/>
      <c r="D284" s="4" t="str">
        <f t="shared" si="13"/>
        <v/>
      </c>
      <c r="E284" s="5"/>
      <c r="F284" s="2"/>
      <c r="G284" s="4" t="str">
        <f>IFERROR(INDEX('Trade Log'!$F$5:$F$204,MATCH(A284,'Trade Log'!$A$5:$A$204,0)),"")</f>
        <v/>
      </c>
      <c r="H284" s="4" t="str">
        <f>IFERROR(INDEX('Trade Log'!$I$5:$I$204,MATCH(A284,'Trade Log'!$A$5:$A$204,0)),"")</f>
        <v/>
      </c>
      <c r="I284" s="7"/>
      <c r="J284" s="8"/>
      <c r="K284" s="8"/>
      <c r="L284" s="8"/>
      <c r="M284" s="2"/>
      <c r="N284" s="9" t="str">
        <f t="shared" si="14"/>
        <v/>
      </c>
      <c r="O284" s="9" t="str">
        <f t="shared" si="15"/>
        <v/>
      </c>
      <c r="P284" s="9" t="str">
        <f>IF(A284="","",O284-(I284*INDEX('Trade Log'!$P$5:$P$204,MATCH(A284,'Trade Log'!$A$5:$A$204,0))*100)-IFERROR(INDEX('Trade Log'!$Q$5:$Q$204,MATCH(A284,'Trade Log'!$A$5:$A$204,0))*I284/INDEX('Trade Log'!$O$5:$O$204,MATCH(A284,'Trade Log'!$A$5:$A$204,0)),0))</f>
        <v/>
      </c>
      <c r="Q284" s="12" t="str">
        <f>IFERROR(P284/(I284*INDEX('Trade Log'!$P$5:$P$204,MATCH(A284,'Trade Log'!$A$5:$A$204,0))*100+IFERROR(INDEX('Trade Log'!$Q$5:$Q$204,MATCH(A284,'Trade Log'!$A$5:$A$204,0))*I284/INDEX('Trade Log'!$O$5:$O$204,MATCH(A284,'Trade Log'!$A$5:$A$204,0)),0)),"")</f>
        <v/>
      </c>
      <c r="R284" s="10"/>
    </row>
    <row r="285" spans="1:18">
      <c r="A285" s="2"/>
      <c r="B285" s="4" t="str">
        <f>IF(A285="","",COUNTIF($A$5:A285,A285))</f>
        <v/>
      </c>
      <c r="C285" s="3"/>
      <c r="D285" s="4" t="str">
        <f t="shared" si="13"/>
        <v/>
      </c>
      <c r="E285" s="5"/>
      <c r="F285" s="2"/>
      <c r="G285" s="4" t="str">
        <f>IFERROR(INDEX('Trade Log'!$F$5:$F$204,MATCH(A285,'Trade Log'!$A$5:$A$204,0)),"")</f>
        <v/>
      </c>
      <c r="H285" s="4" t="str">
        <f>IFERROR(INDEX('Trade Log'!$I$5:$I$204,MATCH(A285,'Trade Log'!$A$5:$A$204,0)),"")</f>
        <v/>
      </c>
      <c r="I285" s="7"/>
      <c r="J285" s="8"/>
      <c r="K285" s="8"/>
      <c r="L285" s="8"/>
      <c r="M285" s="2"/>
      <c r="N285" s="9" t="str">
        <f t="shared" si="14"/>
        <v/>
      </c>
      <c r="O285" s="9" t="str">
        <f t="shared" si="15"/>
        <v/>
      </c>
      <c r="P285" s="9" t="str">
        <f>IF(A285="","",O285-(I285*INDEX('Trade Log'!$P$5:$P$204,MATCH(A285,'Trade Log'!$A$5:$A$204,0))*100)-IFERROR(INDEX('Trade Log'!$Q$5:$Q$204,MATCH(A285,'Trade Log'!$A$5:$A$204,0))*I285/INDEX('Trade Log'!$O$5:$O$204,MATCH(A285,'Trade Log'!$A$5:$A$204,0)),0))</f>
        <v/>
      </c>
      <c r="Q285" s="12" t="str">
        <f>IFERROR(P285/(I285*INDEX('Trade Log'!$P$5:$P$204,MATCH(A285,'Trade Log'!$A$5:$A$204,0))*100+IFERROR(INDEX('Trade Log'!$Q$5:$Q$204,MATCH(A285,'Trade Log'!$A$5:$A$204,0))*I285/INDEX('Trade Log'!$O$5:$O$204,MATCH(A285,'Trade Log'!$A$5:$A$204,0)),0)),"")</f>
        <v/>
      </c>
      <c r="R285" s="10"/>
    </row>
    <row r="286" spans="1:18">
      <c r="A286" s="2"/>
      <c r="B286" s="4" t="str">
        <f>IF(A286="","",COUNTIF($A$5:A286,A286))</f>
        <v/>
      </c>
      <c r="C286" s="3"/>
      <c r="D286" s="4" t="str">
        <f t="shared" si="13"/>
        <v/>
      </c>
      <c r="E286" s="5"/>
      <c r="F286" s="2"/>
      <c r="G286" s="4" t="str">
        <f>IFERROR(INDEX('Trade Log'!$F$5:$F$204,MATCH(A286,'Trade Log'!$A$5:$A$204,0)),"")</f>
        <v/>
      </c>
      <c r="H286" s="4" t="str">
        <f>IFERROR(INDEX('Trade Log'!$I$5:$I$204,MATCH(A286,'Trade Log'!$A$5:$A$204,0)),"")</f>
        <v/>
      </c>
      <c r="I286" s="7"/>
      <c r="J286" s="8"/>
      <c r="K286" s="8"/>
      <c r="L286" s="8"/>
      <c r="M286" s="2"/>
      <c r="N286" s="9" t="str">
        <f t="shared" si="14"/>
        <v/>
      </c>
      <c r="O286" s="9" t="str">
        <f t="shared" si="15"/>
        <v/>
      </c>
      <c r="P286" s="9" t="str">
        <f>IF(A286="","",O286-(I286*INDEX('Trade Log'!$P$5:$P$204,MATCH(A286,'Trade Log'!$A$5:$A$204,0))*100)-IFERROR(INDEX('Trade Log'!$Q$5:$Q$204,MATCH(A286,'Trade Log'!$A$5:$A$204,0))*I286/INDEX('Trade Log'!$O$5:$O$204,MATCH(A286,'Trade Log'!$A$5:$A$204,0)),0))</f>
        <v/>
      </c>
      <c r="Q286" s="12" t="str">
        <f>IFERROR(P286/(I286*INDEX('Trade Log'!$P$5:$P$204,MATCH(A286,'Trade Log'!$A$5:$A$204,0))*100+IFERROR(INDEX('Trade Log'!$Q$5:$Q$204,MATCH(A286,'Trade Log'!$A$5:$A$204,0))*I286/INDEX('Trade Log'!$O$5:$O$204,MATCH(A286,'Trade Log'!$A$5:$A$204,0)),0)),"")</f>
        <v/>
      </c>
      <c r="R286" s="10"/>
    </row>
    <row r="287" spans="1:18">
      <c r="A287" s="2"/>
      <c r="B287" s="4" t="str">
        <f>IF(A287="","",COUNTIF($A$5:A287,A287))</f>
        <v/>
      </c>
      <c r="C287" s="3"/>
      <c r="D287" s="4" t="str">
        <f t="shared" si="13"/>
        <v/>
      </c>
      <c r="E287" s="5"/>
      <c r="F287" s="2"/>
      <c r="G287" s="4" t="str">
        <f>IFERROR(INDEX('Trade Log'!$F$5:$F$204,MATCH(A287,'Trade Log'!$A$5:$A$204,0)),"")</f>
        <v/>
      </c>
      <c r="H287" s="4" t="str">
        <f>IFERROR(INDEX('Trade Log'!$I$5:$I$204,MATCH(A287,'Trade Log'!$A$5:$A$204,0)),"")</f>
        <v/>
      </c>
      <c r="I287" s="7"/>
      <c r="J287" s="8"/>
      <c r="K287" s="8"/>
      <c r="L287" s="8"/>
      <c r="M287" s="2"/>
      <c r="N287" s="9" t="str">
        <f t="shared" si="14"/>
        <v/>
      </c>
      <c r="O287" s="9" t="str">
        <f t="shared" si="15"/>
        <v/>
      </c>
      <c r="P287" s="9" t="str">
        <f>IF(A287="","",O287-(I287*INDEX('Trade Log'!$P$5:$P$204,MATCH(A287,'Trade Log'!$A$5:$A$204,0))*100)-IFERROR(INDEX('Trade Log'!$Q$5:$Q$204,MATCH(A287,'Trade Log'!$A$5:$A$204,0))*I287/INDEX('Trade Log'!$O$5:$O$204,MATCH(A287,'Trade Log'!$A$5:$A$204,0)),0))</f>
        <v/>
      </c>
      <c r="Q287" s="12" t="str">
        <f>IFERROR(P287/(I287*INDEX('Trade Log'!$P$5:$P$204,MATCH(A287,'Trade Log'!$A$5:$A$204,0))*100+IFERROR(INDEX('Trade Log'!$Q$5:$Q$204,MATCH(A287,'Trade Log'!$A$5:$A$204,0))*I287/INDEX('Trade Log'!$O$5:$O$204,MATCH(A287,'Trade Log'!$A$5:$A$204,0)),0)),"")</f>
        <v/>
      </c>
      <c r="R287" s="10"/>
    </row>
    <row r="288" spans="1:18">
      <c r="A288" s="2"/>
      <c r="B288" s="4" t="str">
        <f>IF(A288="","",COUNTIF($A$5:A288,A288))</f>
        <v/>
      </c>
      <c r="C288" s="3"/>
      <c r="D288" s="4" t="str">
        <f t="shared" si="13"/>
        <v/>
      </c>
      <c r="E288" s="5"/>
      <c r="F288" s="2"/>
      <c r="G288" s="4" t="str">
        <f>IFERROR(INDEX('Trade Log'!$F$5:$F$204,MATCH(A288,'Trade Log'!$A$5:$A$204,0)),"")</f>
        <v/>
      </c>
      <c r="H288" s="4" t="str">
        <f>IFERROR(INDEX('Trade Log'!$I$5:$I$204,MATCH(A288,'Trade Log'!$A$5:$A$204,0)),"")</f>
        <v/>
      </c>
      <c r="I288" s="7"/>
      <c r="J288" s="8"/>
      <c r="K288" s="8"/>
      <c r="L288" s="8"/>
      <c r="M288" s="2"/>
      <c r="N288" s="9" t="str">
        <f t="shared" si="14"/>
        <v/>
      </c>
      <c r="O288" s="9" t="str">
        <f t="shared" si="15"/>
        <v/>
      </c>
      <c r="P288" s="9" t="str">
        <f>IF(A288="","",O288-(I288*INDEX('Trade Log'!$P$5:$P$204,MATCH(A288,'Trade Log'!$A$5:$A$204,0))*100)-IFERROR(INDEX('Trade Log'!$Q$5:$Q$204,MATCH(A288,'Trade Log'!$A$5:$A$204,0))*I288/INDEX('Trade Log'!$O$5:$O$204,MATCH(A288,'Trade Log'!$A$5:$A$204,0)),0))</f>
        <v/>
      </c>
      <c r="Q288" s="12" t="str">
        <f>IFERROR(P288/(I288*INDEX('Trade Log'!$P$5:$P$204,MATCH(A288,'Trade Log'!$A$5:$A$204,0))*100+IFERROR(INDEX('Trade Log'!$Q$5:$Q$204,MATCH(A288,'Trade Log'!$A$5:$A$204,0))*I288/INDEX('Trade Log'!$O$5:$O$204,MATCH(A288,'Trade Log'!$A$5:$A$204,0)),0)),"")</f>
        <v/>
      </c>
      <c r="R288" s="10"/>
    </row>
    <row r="289" spans="1:18">
      <c r="A289" s="2"/>
      <c r="B289" s="4" t="str">
        <f>IF(A289="","",COUNTIF($A$5:A289,A289))</f>
        <v/>
      </c>
      <c r="C289" s="3"/>
      <c r="D289" s="4" t="str">
        <f t="shared" si="13"/>
        <v/>
      </c>
      <c r="E289" s="5"/>
      <c r="F289" s="2"/>
      <c r="G289" s="4" t="str">
        <f>IFERROR(INDEX('Trade Log'!$F$5:$F$204,MATCH(A289,'Trade Log'!$A$5:$A$204,0)),"")</f>
        <v/>
      </c>
      <c r="H289" s="4" t="str">
        <f>IFERROR(INDEX('Trade Log'!$I$5:$I$204,MATCH(A289,'Trade Log'!$A$5:$A$204,0)),"")</f>
        <v/>
      </c>
      <c r="I289" s="7"/>
      <c r="J289" s="8"/>
      <c r="K289" s="8"/>
      <c r="L289" s="8"/>
      <c r="M289" s="2"/>
      <c r="N289" s="9" t="str">
        <f t="shared" si="14"/>
        <v/>
      </c>
      <c r="O289" s="9" t="str">
        <f t="shared" si="15"/>
        <v/>
      </c>
      <c r="P289" s="9" t="str">
        <f>IF(A289="","",O289-(I289*INDEX('Trade Log'!$P$5:$P$204,MATCH(A289,'Trade Log'!$A$5:$A$204,0))*100)-IFERROR(INDEX('Trade Log'!$Q$5:$Q$204,MATCH(A289,'Trade Log'!$A$5:$A$204,0))*I289/INDEX('Trade Log'!$O$5:$O$204,MATCH(A289,'Trade Log'!$A$5:$A$204,0)),0))</f>
        <v/>
      </c>
      <c r="Q289" s="12" t="str">
        <f>IFERROR(P289/(I289*INDEX('Trade Log'!$P$5:$P$204,MATCH(A289,'Trade Log'!$A$5:$A$204,0))*100+IFERROR(INDEX('Trade Log'!$Q$5:$Q$204,MATCH(A289,'Trade Log'!$A$5:$A$204,0))*I289/INDEX('Trade Log'!$O$5:$O$204,MATCH(A289,'Trade Log'!$A$5:$A$204,0)),0)),"")</f>
        <v/>
      </c>
      <c r="R289" s="10"/>
    </row>
    <row r="290" spans="1:18">
      <c r="A290" s="2"/>
      <c r="B290" s="4" t="str">
        <f>IF(A290="","",COUNTIF($A$5:A290,A290))</f>
        <v/>
      </c>
      <c r="C290" s="3"/>
      <c r="D290" s="4" t="str">
        <f t="shared" si="13"/>
        <v/>
      </c>
      <c r="E290" s="5"/>
      <c r="F290" s="2"/>
      <c r="G290" s="4" t="str">
        <f>IFERROR(INDEX('Trade Log'!$F$5:$F$204,MATCH(A290,'Trade Log'!$A$5:$A$204,0)),"")</f>
        <v/>
      </c>
      <c r="H290" s="4" t="str">
        <f>IFERROR(INDEX('Trade Log'!$I$5:$I$204,MATCH(A290,'Trade Log'!$A$5:$A$204,0)),"")</f>
        <v/>
      </c>
      <c r="I290" s="7"/>
      <c r="J290" s="8"/>
      <c r="K290" s="8"/>
      <c r="L290" s="8"/>
      <c r="M290" s="2"/>
      <c r="N290" s="9" t="str">
        <f t="shared" si="14"/>
        <v/>
      </c>
      <c r="O290" s="9" t="str">
        <f t="shared" si="15"/>
        <v/>
      </c>
      <c r="P290" s="9" t="str">
        <f>IF(A290="","",O290-(I290*INDEX('Trade Log'!$P$5:$P$204,MATCH(A290,'Trade Log'!$A$5:$A$204,0))*100)-IFERROR(INDEX('Trade Log'!$Q$5:$Q$204,MATCH(A290,'Trade Log'!$A$5:$A$204,0))*I290/INDEX('Trade Log'!$O$5:$O$204,MATCH(A290,'Trade Log'!$A$5:$A$204,0)),0))</f>
        <v/>
      </c>
      <c r="Q290" s="12" t="str">
        <f>IFERROR(P290/(I290*INDEX('Trade Log'!$P$5:$P$204,MATCH(A290,'Trade Log'!$A$5:$A$204,0))*100+IFERROR(INDEX('Trade Log'!$Q$5:$Q$204,MATCH(A290,'Trade Log'!$A$5:$A$204,0))*I290/INDEX('Trade Log'!$O$5:$O$204,MATCH(A290,'Trade Log'!$A$5:$A$204,0)),0)),"")</f>
        <v/>
      </c>
      <c r="R290" s="10"/>
    </row>
    <row r="291" spans="1:18">
      <c r="A291" s="2"/>
      <c r="B291" s="4" t="str">
        <f>IF(A291="","",COUNTIF($A$5:A291,A291))</f>
        <v/>
      </c>
      <c r="C291" s="3"/>
      <c r="D291" s="4" t="str">
        <f t="shared" si="13"/>
        <v/>
      </c>
      <c r="E291" s="5"/>
      <c r="F291" s="2"/>
      <c r="G291" s="4" t="str">
        <f>IFERROR(INDEX('Trade Log'!$F$5:$F$204,MATCH(A291,'Trade Log'!$A$5:$A$204,0)),"")</f>
        <v/>
      </c>
      <c r="H291" s="4" t="str">
        <f>IFERROR(INDEX('Trade Log'!$I$5:$I$204,MATCH(A291,'Trade Log'!$A$5:$A$204,0)),"")</f>
        <v/>
      </c>
      <c r="I291" s="7"/>
      <c r="J291" s="8"/>
      <c r="K291" s="8"/>
      <c r="L291" s="8"/>
      <c r="M291" s="2"/>
      <c r="N291" s="9" t="str">
        <f t="shared" si="14"/>
        <v/>
      </c>
      <c r="O291" s="9" t="str">
        <f t="shared" si="15"/>
        <v/>
      </c>
      <c r="P291" s="9" t="str">
        <f>IF(A291="","",O291-(I291*INDEX('Trade Log'!$P$5:$P$204,MATCH(A291,'Trade Log'!$A$5:$A$204,0))*100)-IFERROR(INDEX('Trade Log'!$Q$5:$Q$204,MATCH(A291,'Trade Log'!$A$5:$A$204,0))*I291/INDEX('Trade Log'!$O$5:$O$204,MATCH(A291,'Trade Log'!$A$5:$A$204,0)),0))</f>
        <v/>
      </c>
      <c r="Q291" s="12" t="str">
        <f>IFERROR(P291/(I291*INDEX('Trade Log'!$P$5:$P$204,MATCH(A291,'Trade Log'!$A$5:$A$204,0))*100+IFERROR(INDEX('Trade Log'!$Q$5:$Q$204,MATCH(A291,'Trade Log'!$A$5:$A$204,0))*I291/INDEX('Trade Log'!$O$5:$O$204,MATCH(A291,'Trade Log'!$A$5:$A$204,0)),0)),"")</f>
        <v/>
      </c>
      <c r="R291" s="10"/>
    </row>
    <row r="292" spans="1:18">
      <c r="A292" s="2"/>
      <c r="B292" s="4" t="str">
        <f>IF(A292="","",COUNTIF($A$5:A292,A292))</f>
        <v/>
      </c>
      <c r="C292" s="3"/>
      <c r="D292" s="4" t="str">
        <f t="shared" si="13"/>
        <v/>
      </c>
      <c r="E292" s="5"/>
      <c r="F292" s="2"/>
      <c r="G292" s="4" t="str">
        <f>IFERROR(INDEX('Trade Log'!$F$5:$F$204,MATCH(A292,'Trade Log'!$A$5:$A$204,0)),"")</f>
        <v/>
      </c>
      <c r="H292" s="4" t="str">
        <f>IFERROR(INDEX('Trade Log'!$I$5:$I$204,MATCH(A292,'Trade Log'!$A$5:$A$204,0)),"")</f>
        <v/>
      </c>
      <c r="I292" s="7"/>
      <c r="J292" s="8"/>
      <c r="K292" s="8"/>
      <c r="L292" s="8"/>
      <c r="M292" s="2"/>
      <c r="N292" s="9" t="str">
        <f t="shared" si="14"/>
        <v/>
      </c>
      <c r="O292" s="9" t="str">
        <f t="shared" si="15"/>
        <v/>
      </c>
      <c r="P292" s="9" t="str">
        <f>IF(A292="","",O292-(I292*INDEX('Trade Log'!$P$5:$P$204,MATCH(A292,'Trade Log'!$A$5:$A$204,0))*100)-IFERROR(INDEX('Trade Log'!$Q$5:$Q$204,MATCH(A292,'Trade Log'!$A$5:$A$204,0))*I292/INDEX('Trade Log'!$O$5:$O$204,MATCH(A292,'Trade Log'!$A$5:$A$204,0)),0))</f>
        <v/>
      </c>
      <c r="Q292" s="12" t="str">
        <f>IFERROR(P292/(I292*INDEX('Trade Log'!$P$5:$P$204,MATCH(A292,'Trade Log'!$A$5:$A$204,0))*100+IFERROR(INDEX('Trade Log'!$Q$5:$Q$204,MATCH(A292,'Trade Log'!$A$5:$A$204,0))*I292/INDEX('Trade Log'!$O$5:$O$204,MATCH(A292,'Trade Log'!$A$5:$A$204,0)),0)),"")</f>
        <v/>
      </c>
      <c r="R292" s="10"/>
    </row>
    <row r="293" spans="1:18">
      <c r="A293" s="2"/>
      <c r="B293" s="4" t="str">
        <f>IF(A293="","",COUNTIF($A$5:A293,A293))</f>
        <v/>
      </c>
      <c r="C293" s="3"/>
      <c r="D293" s="4" t="str">
        <f t="shared" si="13"/>
        <v/>
      </c>
      <c r="E293" s="5"/>
      <c r="F293" s="2"/>
      <c r="G293" s="4" t="str">
        <f>IFERROR(INDEX('Trade Log'!$F$5:$F$204,MATCH(A293,'Trade Log'!$A$5:$A$204,0)),"")</f>
        <v/>
      </c>
      <c r="H293" s="4" t="str">
        <f>IFERROR(INDEX('Trade Log'!$I$5:$I$204,MATCH(A293,'Trade Log'!$A$5:$A$204,0)),"")</f>
        <v/>
      </c>
      <c r="I293" s="7"/>
      <c r="J293" s="8"/>
      <c r="K293" s="8"/>
      <c r="L293" s="8"/>
      <c r="M293" s="2"/>
      <c r="N293" s="9" t="str">
        <f t="shared" si="14"/>
        <v/>
      </c>
      <c r="O293" s="9" t="str">
        <f t="shared" si="15"/>
        <v/>
      </c>
      <c r="P293" s="9" t="str">
        <f>IF(A293="","",O293-(I293*INDEX('Trade Log'!$P$5:$P$204,MATCH(A293,'Trade Log'!$A$5:$A$204,0))*100)-IFERROR(INDEX('Trade Log'!$Q$5:$Q$204,MATCH(A293,'Trade Log'!$A$5:$A$204,0))*I293/INDEX('Trade Log'!$O$5:$O$204,MATCH(A293,'Trade Log'!$A$5:$A$204,0)),0))</f>
        <v/>
      </c>
      <c r="Q293" s="12" t="str">
        <f>IFERROR(P293/(I293*INDEX('Trade Log'!$P$5:$P$204,MATCH(A293,'Trade Log'!$A$5:$A$204,0))*100+IFERROR(INDEX('Trade Log'!$Q$5:$Q$204,MATCH(A293,'Trade Log'!$A$5:$A$204,0))*I293/INDEX('Trade Log'!$O$5:$O$204,MATCH(A293,'Trade Log'!$A$5:$A$204,0)),0)),"")</f>
        <v/>
      </c>
      <c r="R293" s="10"/>
    </row>
    <row r="294" spans="1:18">
      <c r="A294" s="2"/>
      <c r="B294" s="4" t="str">
        <f>IF(A294="","",COUNTIF($A$5:A294,A294))</f>
        <v/>
      </c>
      <c r="C294" s="3"/>
      <c r="D294" s="4" t="str">
        <f t="shared" si="13"/>
        <v/>
      </c>
      <c r="E294" s="5"/>
      <c r="F294" s="2"/>
      <c r="G294" s="4" t="str">
        <f>IFERROR(INDEX('Trade Log'!$F$5:$F$204,MATCH(A294,'Trade Log'!$A$5:$A$204,0)),"")</f>
        <v/>
      </c>
      <c r="H294" s="4" t="str">
        <f>IFERROR(INDEX('Trade Log'!$I$5:$I$204,MATCH(A294,'Trade Log'!$A$5:$A$204,0)),"")</f>
        <v/>
      </c>
      <c r="I294" s="7"/>
      <c r="J294" s="8"/>
      <c r="K294" s="8"/>
      <c r="L294" s="8"/>
      <c r="M294" s="2"/>
      <c r="N294" s="9" t="str">
        <f t="shared" si="14"/>
        <v/>
      </c>
      <c r="O294" s="9" t="str">
        <f t="shared" si="15"/>
        <v/>
      </c>
      <c r="P294" s="9" t="str">
        <f>IF(A294="","",O294-(I294*INDEX('Trade Log'!$P$5:$P$204,MATCH(A294,'Trade Log'!$A$5:$A$204,0))*100)-IFERROR(INDEX('Trade Log'!$Q$5:$Q$204,MATCH(A294,'Trade Log'!$A$5:$A$204,0))*I294/INDEX('Trade Log'!$O$5:$O$204,MATCH(A294,'Trade Log'!$A$5:$A$204,0)),0))</f>
        <v/>
      </c>
      <c r="Q294" s="12" t="str">
        <f>IFERROR(P294/(I294*INDEX('Trade Log'!$P$5:$P$204,MATCH(A294,'Trade Log'!$A$5:$A$204,0))*100+IFERROR(INDEX('Trade Log'!$Q$5:$Q$204,MATCH(A294,'Trade Log'!$A$5:$A$204,0))*I294/INDEX('Trade Log'!$O$5:$O$204,MATCH(A294,'Trade Log'!$A$5:$A$204,0)),0)),"")</f>
        <v/>
      </c>
      <c r="R294" s="10"/>
    </row>
    <row r="295" spans="1:18">
      <c r="A295" s="2"/>
      <c r="B295" s="4" t="str">
        <f>IF(A295="","",COUNTIF($A$5:A295,A295))</f>
        <v/>
      </c>
      <c r="C295" s="3"/>
      <c r="D295" s="4" t="str">
        <f t="shared" si="13"/>
        <v/>
      </c>
      <c r="E295" s="5"/>
      <c r="F295" s="2"/>
      <c r="G295" s="4" t="str">
        <f>IFERROR(INDEX('Trade Log'!$F$5:$F$204,MATCH(A295,'Trade Log'!$A$5:$A$204,0)),"")</f>
        <v/>
      </c>
      <c r="H295" s="4" t="str">
        <f>IFERROR(INDEX('Trade Log'!$I$5:$I$204,MATCH(A295,'Trade Log'!$A$5:$A$204,0)),"")</f>
        <v/>
      </c>
      <c r="I295" s="7"/>
      <c r="J295" s="8"/>
      <c r="K295" s="8"/>
      <c r="L295" s="8"/>
      <c r="M295" s="2"/>
      <c r="N295" s="9" t="str">
        <f t="shared" si="14"/>
        <v/>
      </c>
      <c r="O295" s="9" t="str">
        <f t="shared" si="15"/>
        <v/>
      </c>
      <c r="P295" s="9" t="str">
        <f>IF(A295="","",O295-(I295*INDEX('Trade Log'!$P$5:$P$204,MATCH(A295,'Trade Log'!$A$5:$A$204,0))*100)-IFERROR(INDEX('Trade Log'!$Q$5:$Q$204,MATCH(A295,'Trade Log'!$A$5:$A$204,0))*I295/INDEX('Trade Log'!$O$5:$O$204,MATCH(A295,'Trade Log'!$A$5:$A$204,0)),0))</f>
        <v/>
      </c>
      <c r="Q295" s="12" t="str">
        <f>IFERROR(P295/(I295*INDEX('Trade Log'!$P$5:$P$204,MATCH(A295,'Trade Log'!$A$5:$A$204,0))*100+IFERROR(INDEX('Trade Log'!$Q$5:$Q$204,MATCH(A295,'Trade Log'!$A$5:$A$204,0))*I295/INDEX('Trade Log'!$O$5:$O$204,MATCH(A295,'Trade Log'!$A$5:$A$204,0)),0)),"")</f>
        <v/>
      </c>
      <c r="R295" s="10"/>
    </row>
    <row r="296" spans="1:18">
      <c r="A296" s="2"/>
      <c r="B296" s="4" t="str">
        <f>IF(A296="","",COUNTIF($A$5:A296,A296))</f>
        <v/>
      </c>
      <c r="C296" s="3"/>
      <c r="D296" s="4" t="str">
        <f t="shared" si="13"/>
        <v/>
      </c>
      <c r="E296" s="5"/>
      <c r="F296" s="2"/>
      <c r="G296" s="4" t="str">
        <f>IFERROR(INDEX('Trade Log'!$F$5:$F$204,MATCH(A296,'Trade Log'!$A$5:$A$204,0)),"")</f>
        <v/>
      </c>
      <c r="H296" s="4" t="str">
        <f>IFERROR(INDEX('Trade Log'!$I$5:$I$204,MATCH(A296,'Trade Log'!$A$5:$A$204,0)),"")</f>
        <v/>
      </c>
      <c r="I296" s="7"/>
      <c r="J296" s="8"/>
      <c r="K296" s="8"/>
      <c r="L296" s="8"/>
      <c r="M296" s="2"/>
      <c r="N296" s="9" t="str">
        <f t="shared" si="14"/>
        <v/>
      </c>
      <c r="O296" s="9" t="str">
        <f t="shared" si="15"/>
        <v/>
      </c>
      <c r="P296" s="9" t="str">
        <f>IF(A296="","",O296-(I296*INDEX('Trade Log'!$P$5:$P$204,MATCH(A296,'Trade Log'!$A$5:$A$204,0))*100)-IFERROR(INDEX('Trade Log'!$Q$5:$Q$204,MATCH(A296,'Trade Log'!$A$5:$A$204,0))*I296/INDEX('Trade Log'!$O$5:$O$204,MATCH(A296,'Trade Log'!$A$5:$A$204,0)),0))</f>
        <v/>
      </c>
      <c r="Q296" s="12" t="str">
        <f>IFERROR(P296/(I296*INDEX('Trade Log'!$P$5:$P$204,MATCH(A296,'Trade Log'!$A$5:$A$204,0))*100+IFERROR(INDEX('Trade Log'!$Q$5:$Q$204,MATCH(A296,'Trade Log'!$A$5:$A$204,0))*I296/INDEX('Trade Log'!$O$5:$O$204,MATCH(A296,'Trade Log'!$A$5:$A$204,0)),0)),"")</f>
        <v/>
      </c>
      <c r="R296" s="10"/>
    </row>
    <row r="297" spans="1:18">
      <c r="A297" s="2"/>
      <c r="B297" s="4" t="str">
        <f>IF(A297="","",COUNTIF($A$5:A297,A297))</f>
        <v/>
      </c>
      <c r="C297" s="3"/>
      <c r="D297" s="4" t="str">
        <f t="shared" si="13"/>
        <v/>
      </c>
      <c r="E297" s="5"/>
      <c r="F297" s="2"/>
      <c r="G297" s="4" t="str">
        <f>IFERROR(INDEX('Trade Log'!$F$5:$F$204,MATCH(A297,'Trade Log'!$A$5:$A$204,0)),"")</f>
        <v/>
      </c>
      <c r="H297" s="4" t="str">
        <f>IFERROR(INDEX('Trade Log'!$I$5:$I$204,MATCH(A297,'Trade Log'!$A$5:$A$204,0)),"")</f>
        <v/>
      </c>
      <c r="I297" s="7"/>
      <c r="J297" s="8"/>
      <c r="K297" s="8"/>
      <c r="L297" s="8"/>
      <c r="M297" s="2"/>
      <c r="N297" s="9" t="str">
        <f t="shared" si="14"/>
        <v/>
      </c>
      <c r="O297" s="9" t="str">
        <f t="shared" si="15"/>
        <v/>
      </c>
      <c r="P297" s="9" t="str">
        <f>IF(A297="","",O297-(I297*INDEX('Trade Log'!$P$5:$P$204,MATCH(A297,'Trade Log'!$A$5:$A$204,0))*100)-IFERROR(INDEX('Trade Log'!$Q$5:$Q$204,MATCH(A297,'Trade Log'!$A$5:$A$204,0))*I297/INDEX('Trade Log'!$O$5:$O$204,MATCH(A297,'Trade Log'!$A$5:$A$204,0)),0))</f>
        <v/>
      </c>
      <c r="Q297" s="12" t="str">
        <f>IFERROR(P297/(I297*INDEX('Trade Log'!$P$5:$P$204,MATCH(A297,'Trade Log'!$A$5:$A$204,0))*100+IFERROR(INDEX('Trade Log'!$Q$5:$Q$204,MATCH(A297,'Trade Log'!$A$5:$A$204,0))*I297/INDEX('Trade Log'!$O$5:$O$204,MATCH(A297,'Trade Log'!$A$5:$A$204,0)),0)),"")</f>
        <v/>
      </c>
      <c r="R297" s="10"/>
    </row>
    <row r="298" spans="1:18">
      <c r="A298" s="2"/>
      <c r="B298" s="4" t="str">
        <f>IF(A298="","",COUNTIF($A$5:A298,A298))</f>
        <v/>
      </c>
      <c r="C298" s="3"/>
      <c r="D298" s="4" t="str">
        <f t="shared" si="13"/>
        <v/>
      </c>
      <c r="E298" s="5"/>
      <c r="F298" s="2"/>
      <c r="G298" s="4" t="str">
        <f>IFERROR(INDEX('Trade Log'!$F$5:$F$204,MATCH(A298,'Trade Log'!$A$5:$A$204,0)),"")</f>
        <v/>
      </c>
      <c r="H298" s="4" t="str">
        <f>IFERROR(INDEX('Trade Log'!$I$5:$I$204,MATCH(A298,'Trade Log'!$A$5:$A$204,0)),"")</f>
        <v/>
      </c>
      <c r="I298" s="7"/>
      <c r="J298" s="8"/>
      <c r="K298" s="8"/>
      <c r="L298" s="8"/>
      <c r="M298" s="2"/>
      <c r="N298" s="9" t="str">
        <f t="shared" si="14"/>
        <v/>
      </c>
      <c r="O298" s="9" t="str">
        <f t="shared" si="15"/>
        <v/>
      </c>
      <c r="P298" s="9" t="str">
        <f>IF(A298="","",O298-(I298*INDEX('Trade Log'!$P$5:$P$204,MATCH(A298,'Trade Log'!$A$5:$A$204,0))*100)-IFERROR(INDEX('Trade Log'!$Q$5:$Q$204,MATCH(A298,'Trade Log'!$A$5:$A$204,0))*I298/INDEX('Trade Log'!$O$5:$O$204,MATCH(A298,'Trade Log'!$A$5:$A$204,0)),0))</f>
        <v/>
      </c>
      <c r="Q298" s="12" t="str">
        <f>IFERROR(P298/(I298*INDEX('Trade Log'!$P$5:$P$204,MATCH(A298,'Trade Log'!$A$5:$A$204,0))*100+IFERROR(INDEX('Trade Log'!$Q$5:$Q$204,MATCH(A298,'Trade Log'!$A$5:$A$204,0))*I298/INDEX('Trade Log'!$O$5:$O$204,MATCH(A298,'Trade Log'!$A$5:$A$204,0)),0)),"")</f>
        <v/>
      </c>
      <c r="R298" s="10"/>
    </row>
    <row r="299" spans="1:18">
      <c r="A299" s="2"/>
      <c r="B299" s="4" t="str">
        <f>IF(A299="","",COUNTIF($A$5:A299,A299))</f>
        <v/>
      </c>
      <c r="C299" s="3"/>
      <c r="D299" s="4" t="str">
        <f t="shared" si="13"/>
        <v/>
      </c>
      <c r="E299" s="5"/>
      <c r="F299" s="2"/>
      <c r="G299" s="4" t="str">
        <f>IFERROR(INDEX('Trade Log'!$F$5:$F$204,MATCH(A299,'Trade Log'!$A$5:$A$204,0)),"")</f>
        <v/>
      </c>
      <c r="H299" s="4" t="str">
        <f>IFERROR(INDEX('Trade Log'!$I$5:$I$204,MATCH(A299,'Trade Log'!$A$5:$A$204,0)),"")</f>
        <v/>
      </c>
      <c r="I299" s="7"/>
      <c r="J299" s="8"/>
      <c r="K299" s="8"/>
      <c r="L299" s="8"/>
      <c r="M299" s="2"/>
      <c r="N299" s="9" t="str">
        <f t="shared" si="14"/>
        <v/>
      </c>
      <c r="O299" s="9" t="str">
        <f t="shared" si="15"/>
        <v/>
      </c>
      <c r="P299" s="9" t="str">
        <f>IF(A299="","",O299-(I299*INDEX('Trade Log'!$P$5:$P$204,MATCH(A299,'Trade Log'!$A$5:$A$204,0))*100)-IFERROR(INDEX('Trade Log'!$Q$5:$Q$204,MATCH(A299,'Trade Log'!$A$5:$A$204,0))*I299/INDEX('Trade Log'!$O$5:$O$204,MATCH(A299,'Trade Log'!$A$5:$A$204,0)),0))</f>
        <v/>
      </c>
      <c r="Q299" s="12" t="str">
        <f>IFERROR(P299/(I299*INDEX('Trade Log'!$P$5:$P$204,MATCH(A299,'Trade Log'!$A$5:$A$204,0))*100+IFERROR(INDEX('Trade Log'!$Q$5:$Q$204,MATCH(A299,'Trade Log'!$A$5:$A$204,0))*I299/INDEX('Trade Log'!$O$5:$O$204,MATCH(A299,'Trade Log'!$A$5:$A$204,0)),0)),"")</f>
        <v/>
      </c>
      <c r="R299" s="10"/>
    </row>
    <row r="300" spans="1:18">
      <c r="A300" s="2"/>
      <c r="B300" s="4" t="str">
        <f>IF(A300="","",COUNTIF($A$5:A300,A300))</f>
        <v/>
      </c>
      <c r="C300" s="3"/>
      <c r="D300" s="4" t="str">
        <f t="shared" si="13"/>
        <v/>
      </c>
      <c r="E300" s="5"/>
      <c r="F300" s="2"/>
      <c r="G300" s="4" t="str">
        <f>IFERROR(INDEX('Trade Log'!$F$5:$F$204,MATCH(A300,'Trade Log'!$A$5:$A$204,0)),"")</f>
        <v/>
      </c>
      <c r="H300" s="4" t="str">
        <f>IFERROR(INDEX('Trade Log'!$I$5:$I$204,MATCH(A300,'Trade Log'!$A$5:$A$204,0)),"")</f>
        <v/>
      </c>
      <c r="I300" s="7"/>
      <c r="J300" s="8"/>
      <c r="K300" s="8"/>
      <c r="L300" s="8"/>
      <c r="M300" s="2"/>
      <c r="N300" s="9" t="str">
        <f t="shared" si="14"/>
        <v/>
      </c>
      <c r="O300" s="9" t="str">
        <f t="shared" si="15"/>
        <v/>
      </c>
      <c r="P300" s="9" t="str">
        <f>IF(A300="","",O300-(I300*INDEX('Trade Log'!$P$5:$P$204,MATCH(A300,'Trade Log'!$A$5:$A$204,0))*100)-IFERROR(INDEX('Trade Log'!$Q$5:$Q$204,MATCH(A300,'Trade Log'!$A$5:$A$204,0))*I300/INDEX('Trade Log'!$O$5:$O$204,MATCH(A300,'Trade Log'!$A$5:$A$204,0)),0))</f>
        <v/>
      </c>
      <c r="Q300" s="12" t="str">
        <f>IFERROR(P300/(I300*INDEX('Trade Log'!$P$5:$P$204,MATCH(A300,'Trade Log'!$A$5:$A$204,0))*100+IFERROR(INDEX('Trade Log'!$Q$5:$Q$204,MATCH(A300,'Trade Log'!$A$5:$A$204,0))*I300/INDEX('Trade Log'!$O$5:$O$204,MATCH(A300,'Trade Log'!$A$5:$A$204,0)),0)),"")</f>
        <v/>
      </c>
      <c r="R300" s="10"/>
    </row>
    <row r="301" spans="1:18">
      <c r="A301" s="2"/>
      <c r="B301" s="4" t="str">
        <f>IF(A301="","",COUNTIF($A$5:A301,A301))</f>
        <v/>
      </c>
      <c r="C301" s="3"/>
      <c r="D301" s="4" t="str">
        <f t="shared" si="13"/>
        <v/>
      </c>
      <c r="E301" s="5"/>
      <c r="F301" s="2"/>
      <c r="G301" s="4" t="str">
        <f>IFERROR(INDEX('Trade Log'!$F$5:$F$204,MATCH(A301,'Trade Log'!$A$5:$A$204,0)),"")</f>
        <v/>
      </c>
      <c r="H301" s="4" t="str">
        <f>IFERROR(INDEX('Trade Log'!$I$5:$I$204,MATCH(A301,'Trade Log'!$A$5:$A$204,0)),"")</f>
        <v/>
      </c>
      <c r="I301" s="7"/>
      <c r="J301" s="8"/>
      <c r="K301" s="8"/>
      <c r="L301" s="8"/>
      <c r="M301" s="2"/>
      <c r="N301" s="9" t="str">
        <f t="shared" si="14"/>
        <v/>
      </c>
      <c r="O301" s="9" t="str">
        <f t="shared" si="15"/>
        <v/>
      </c>
      <c r="P301" s="9" t="str">
        <f>IF(A301="","",O301-(I301*INDEX('Trade Log'!$P$5:$P$204,MATCH(A301,'Trade Log'!$A$5:$A$204,0))*100)-IFERROR(INDEX('Trade Log'!$Q$5:$Q$204,MATCH(A301,'Trade Log'!$A$5:$A$204,0))*I301/INDEX('Trade Log'!$O$5:$O$204,MATCH(A301,'Trade Log'!$A$5:$A$204,0)),0))</f>
        <v/>
      </c>
      <c r="Q301" s="12" t="str">
        <f>IFERROR(P301/(I301*INDEX('Trade Log'!$P$5:$P$204,MATCH(A301,'Trade Log'!$A$5:$A$204,0))*100+IFERROR(INDEX('Trade Log'!$Q$5:$Q$204,MATCH(A301,'Trade Log'!$A$5:$A$204,0))*I301/INDEX('Trade Log'!$O$5:$O$204,MATCH(A301,'Trade Log'!$A$5:$A$204,0)),0)),"")</f>
        <v/>
      </c>
      <c r="R301" s="10"/>
    </row>
    <row r="302" spans="1:18">
      <c r="A302" s="2"/>
      <c r="B302" s="4" t="str">
        <f>IF(A302="","",COUNTIF($A$5:A302,A302))</f>
        <v/>
      </c>
      <c r="C302" s="3"/>
      <c r="D302" s="4" t="str">
        <f t="shared" si="13"/>
        <v/>
      </c>
      <c r="E302" s="5"/>
      <c r="F302" s="2"/>
      <c r="G302" s="4" t="str">
        <f>IFERROR(INDEX('Trade Log'!$F$5:$F$204,MATCH(A302,'Trade Log'!$A$5:$A$204,0)),"")</f>
        <v/>
      </c>
      <c r="H302" s="4" t="str">
        <f>IFERROR(INDEX('Trade Log'!$I$5:$I$204,MATCH(A302,'Trade Log'!$A$5:$A$204,0)),"")</f>
        <v/>
      </c>
      <c r="I302" s="7"/>
      <c r="J302" s="8"/>
      <c r="K302" s="8"/>
      <c r="L302" s="8"/>
      <c r="M302" s="2"/>
      <c r="N302" s="9" t="str">
        <f t="shared" si="14"/>
        <v/>
      </c>
      <c r="O302" s="9" t="str">
        <f t="shared" si="15"/>
        <v/>
      </c>
      <c r="P302" s="9" t="str">
        <f>IF(A302="","",O302-(I302*INDEX('Trade Log'!$P$5:$P$204,MATCH(A302,'Trade Log'!$A$5:$A$204,0))*100)-IFERROR(INDEX('Trade Log'!$Q$5:$Q$204,MATCH(A302,'Trade Log'!$A$5:$A$204,0))*I302/INDEX('Trade Log'!$O$5:$O$204,MATCH(A302,'Trade Log'!$A$5:$A$204,0)),0))</f>
        <v/>
      </c>
      <c r="Q302" s="12" t="str">
        <f>IFERROR(P302/(I302*INDEX('Trade Log'!$P$5:$P$204,MATCH(A302,'Trade Log'!$A$5:$A$204,0))*100+IFERROR(INDEX('Trade Log'!$Q$5:$Q$204,MATCH(A302,'Trade Log'!$A$5:$A$204,0))*I302/INDEX('Trade Log'!$O$5:$O$204,MATCH(A302,'Trade Log'!$A$5:$A$204,0)),0)),"")</f>
        <v/>
      </c>
      <c r="R302" s="10"/>
    </row>
    <row r="303" spans="1:18">
      <c r="A303" s="2"/>
      <c r="B303" s="4" t="str">
        <f>IF(A303="","",COUNTIF($A$5:A303,A303))</f>
        <v/>
      </c>
      <c r="C303" s="3"/>
      <c r="D303" s="4" t="str">
        <f t="shared" si="13"/>
        <v/>
      </c>
      <c r="E303" s="5"/>
      <c r="F303" s="2"/>
      <c r="G303" s="4" t="str">
        <f>IFERROR(INDEX('Trade Log'!$F$5:$F$204,MATCH(A303,'Trade Log'!$A$5:$A$204,0)),"")</f>
        <v/>
      </c>
      <c r="H303" s="4" t="str">
        <f>IFERROR(INDEX('Trade Log'!$I$5:$I$204,MATCH(A303,'Trade Log'!$A$5:$A$204,0)),"")</f>
        <v/>
      </c>
      <c r="I303" s="7"/>
      <c r="J303" s="8"/>
      <c r="K303" s="8"/>
      <c r="L303" s="8"/>
      <c r="M303" s="2"/>
      <c r="N303" s="9" t="str">
        <f t="shared" si="14"/>
        <v/>
      </c>
      <c r="O303" s="9" t="str">
        <f t="shared" si="15"/>
        <v/>
      </c>
      <c r="P303" s="9" t="str">
        <f>IF(A303="","",O303-(I303*INDEX('Trade Log'!$P$5:$P$204,MATCH(A303,'Trade Log'!$A$5:$A$204,0))*100)-IFERROR(INDEX('Trade Log'!$Q$5:$Q$204,MATCH(A303,'Trade Log'!$A$5:$A$204,0))*I303/INDEX('Trade Log'!$O$5:$O$204,MATCH(A303,'Trade Log'!$A$5:$A$204,0)),0))</f>
        <v/>
      </c>
      <c r="Q303" s="12" t="str">
        <f>IFERROR(P303/(I303*INDEX('Trade Log'!$P$5:$P$204,MATCH(A303,'Trade Log'!$A$5:$A$204,0))*100+IFERROR(INDEX('Trade Log'!$Q$5:$Q$204,MATCH(A303,'Trade Log'!$A$5:$A$204,0))*I303/INDEX('Trade Log'!$O$5:$O$204,MATCH(A303,'Trade Log'!$A$5:$A$204,0)),0)),"")</f>
        <v/>
      </c>
      <c r="R303" s="10"/>
    </row>
    <row r="304" spans="1:18">
      <c r="A304" s="2"/>
      <c r="B304" s="4" t="str">
        <f>IF(A304="","",COUNTIF($A$5:A304,A304))</f>
        <v/>
      </c>
      <c r="C304" s="3"/>
      <c r="D304" s="4" t="str">
        <f t="shared" si="13"/>
        <v/>
      </c>
      <c r="E304" s="5"/>
      <c r="F304" s="2"/>
      <c r="G304" s="4" t="str">
        <f>IFERROR(INDEX('Trade Log'!$F$5:$F$204,MATCH(A304,'Trade Log'!$A$5:$A$204,0)),"")</f>
        <v/>
      </c>
      <c r="H304" s="4" t="str">
        <f>IFERROR(INDEX('Trade Log'!$I$5:$I$204,MATCH(A304,'Trade Log'!$A$5:$A$204,0)),"")</f>
        <v/>
      </c>
      <c r="I304" s="7"/>
      <c r="J304" s="8"/>
      <c r="K304" s="8"/>
      <c r="L304" s="8"/>
      <c r="M304" s="2"/>
      <c r="N304" s="9" t="str">
        <f t="shared" si="14"/>
        <v/>
      </c>
      <c r="O304" s="9" t="str">
        <f t="shared" si="15"/>
        <v/>
      </c>
      <c r="P304" s="9" t="str">
        <f>IF(A304="","",O304-(I304*INDEX('Trade Log'!$P$5:$P$204,MATCH(A304,'Trade Log'!$A$5:$A$204,0))*100)-IFERROR(INDEX('Trade Log'!$Q$5:$Q$204,MATCH(A304,'Trade Log'!$A$5:$A$204,0))*I304/INDEX('Trade Log'!$O$5:$O$204,MATCH(A304,'Trade Log'!$A$5:$A$204,0)),0))</f>
        <v/>
      </c>
      <c r="Q304" s="12" t="str">
        <f>IFERROR(P304/(I304*INDEX('Trade Log'!$P$5:$P$204,MATCH(A304,'Trade Log'!$A$5:$A$204,0))*100+IFERROR(INDEX('Trade Log'!$Q$5:$Q$204,MATCH(A304,'Trade Log'!$A$5:$A$204,0))*I304/INDEX('Trade Log'!$O$5:$O$204,MATCH(A304,'Trade Log'!$A$5:$A$204,0)),0)),"")</f>
        <v/>
      </c>
      <c r="R304" s="10"/>
    </row>
  </sheetData>
  <mergeCells count="2">
    <mergeCell ref="A1:R1"/>
    <mergeCell ref="A2:R2"/>
  </mergeCells>
  <conditionalFormatting sqref="P5:P304">
    <cfRule type="cellIs" dxfId="15" priority="5" operator="greaterThan">
      <formula>0</formula>
    </cfRule>
    <cfRule type="cellIs" dxfId="14" priority="6" operator="lessThan">
      <formula>0</formula>
    </cfRule>
  </conditionalFormatting>
  <conditionalFormatting sqref="Q5:Q304">
    <cfRule type="cellIs" dxfId="13" priority="7" operator="greaterThan">
      <formula>0</formula>
    </cfRule>
    <cfRule type="cellIs" dxfId="12" priority="8" operator="lessThan">
      <formula>0</formula>
    </cfRule>
  </conditionalFormatting>
  <dataValidations count="2">
    <dataValidation type="list" sqref="F5:F304" xr:uid="{00000000-0002-0000-0100-000000000000}">
      <formula1>"Opening 30 Min,Morning,Midday,Power Hour,After-hours"</formula1>
    </dataValidation>
    <dataValidation type="list" sqref="M5:M304" xr:uid="{00000000-0002-0000-0100-000001000000}">
      <formula1>"Trim rule,Target hit,Stop hit,Time decay,End of day,Emotional exit,Manual exit,Other"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0"/>
  <sheetViews>
    <sheetView workbookViewId="0"/>
  </sheetViews>
  <sheetFormatPr defaultRowHeight="14.25"/>
  <cols>
    <col min="1" max="1" width="24" customWidth="1"/>
    <col min="2" max="2" width="16" customWidth="1"/>
    <col min="3" max="4" width="18" customWidth="1"/>
    <col min="5" max="5" width="16" customWidth="1"/>
    <col min="6" max="7" width="14" customWidth="1"/>
    <col min="8" max="8" width="22" customWidth="1"/>
    <col min="9" max="9" width="14" customWidth="1"/>
    <col min="10" max="10" width="18" customWidth="1"/>
    <col min="11" max="11" width="16" customWidth="1"/>
    <col min="12" max="13" width="14" customWidth="1"/>
  </cols>
  <sheetData>
    <row r="1" spans="1:13" ht="26.1" customHeight="1">
      <c r="A1" s="21" t="s">
        <v>67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33.950000000000003" customHeight="1">
      <c r="A2" s="20" t="s">
        <v>68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32.1" customHeight="1">
      <c r="A4" s="22" t="s">
        <v>69</v>
      </c>
      <c r="B4" s="22"/>
      <c r="C4" s="2"/>
      <c r="D4" s="22" t="s">
        <v>70</v>
      </c>
      <c r="E4" s="22"/>
      <c r="F4" s="2"/>
      <c r="G4" s="2"/>
      <c r="H4" s="2"/>
      <c r="I4" s="2"/>
      <c r="J4" s="2"/>
      <c r="K4" s="2"/>
      <c r="L4" s="2"/>
      <c r="M4" s="2"/>
    </row>
    <row r="5" spans="1:13" ht="15">
      <c r="A5" s="15" t="s">
        <v>71</v>
      </c>
      <c r="B5" s="2">
        <f>COUNTA('Trade Log'!$A$5:$A$204)</f>
        <v>1</v>
      </c>
      <c r="C5" s="2"/>
      <c r="D5" s="15" t="s">
        <v>72</v>
      </c>
      <c r="E5" s="2">
        <f>COUNTIF('Exit Log'!$A$5:$A$304,"&lt;&gt;")</f>
        <v>5</v>
      </c>
      <c r="F5" s="2"/>
      <c r="G5" s="2"/>
      <c r="H5" s="2"/>
      <c r="I5" s="2"/>
      <c r="J5" s="2"/>
      <c r="K5" s="2"/>
      <c r="L5" s="2"/>
      <c r="M5" s="2"/>
    </row>
    <row r="6" spans="1:13" ht="15">
      <c r="A6" s="15" t="s">
        <v>73</v>
      </c>
      <c r="B6" s="2">
        <f>COUNTIF('Trade Log'!$W$5:$W$204,"&gt;0")</f>
        <v>1</v>
      </c>
      <c r="C6" s="2"/>
      <c r="D6" s="15" t="s">
        <v>24</v>
      </c>
      <c r="E6" s="2">
        <f>SUM('Exit Log'!$I$5:$I$304)</f>
        <v>10</v>
      </c>
      <c r="F6" s="2"/>
      <c r="G6" s="2"/>
      <c r="H6" s="2"/>
      <c r="I6" s="2"/>
      <c r="J6" s="2"/>
      <c r="K6" s="2"/>
      <c r="L6" s="2"/>
      <c r="M6" s="2"/>
    </row>
    <row r="7" spans="1:13" ht="15">
      <c r="A7" s="15" t="s">
        <v>74</v>
      </c>
      <c r="B7" s="2" t="str">
        <f>COUNTIF('Trade Log'!$AD$5:$AD$204,"Open")&amp;" / "&amp;COUNTIF('Trade Log'!$AD$5:$AD$204,"Partially Trimmed")&amp;" / "&amp;COUNTIF('Trade Log'!$AD$5:$AD$204,"Closed")</f>
        <v>0 / 0 / 1</v>
      </c>
      <c r="C7" s="2"/>
      <c r="D7" s="15" t="s">
        <v>75</v>
      </c>
      <c r="E7" s="8">
        <f>IFERROR(AVERAGEIF('Exit Log'!$P$5:$P$304,"&lt;&gt;",'Exit Log'!$P$5:$P$304),"")</f>
        <v>1070.9000000000003</v>
      </c>
      <c r="F7" s="2"/>
      <c r="G7" s="2"/>
      <c r="H7" s="2"/>
      <c r="I7" s="2"/>
      <c r="J7" s="2"/>
      <c r="K7" s="2"/>
      <c r="L7" s="2"/>
      <c r="M7" s="2"/>
    </row>
    <row r="8" spans="1:13" ht="15">
      <c r="A8" s="15" t="s">
        <v>76</v>
      </c>
      <c r="B8" s="8">
        <f>SUM('Trade Log'!$AB$5:$AB$204)</f>
        <v>5354.5000000000018</v>
      </c>
      <c r="C8" s="8"/>
      <c r="D8" s="16" t="s">
        <v>77</v>
      </c>
      <c r="E8" s="8">
        <f>IFERROR(MAX('Exit Log'!$P$5:$P$304),"")</f>
        <v>2799.2700000000004</v>
      </c>
      <c r="F8" s="2"/>
      <c r="G8" s="2"/>
      <c r="H8" s="2"/>
      <c r="I8" s="2"/>
      <c r="J8" s="2"/>
      <c r="K8" s="2"/>
      <c r="L8" s="2"/>
      <c r="M8" s="2"/>
    </row>
    <row r="9" spans="1:13" ht="30">
      <c r="A9" s="15" t="s">
        <v>78</v>
      </c>
      <c r="B9" s="17">
        <f>IFERROR(COUNTIFS('Trade Log'!$AB$5:$AB$204,"&gt;0",'Trade Log'!$W$5:$W$204,"&gt;0")/B6,"")</f>
        <v>1</v>
      </c>
      <c r="C9" s="8"/>
      <c r="D9" s="16" t="s">
        <v>79</v>
      </c>
      <c r="E9" s="8">
        <f>IFERROR(MIN('Exit Log'!$P$5:$P$304),"")</f>
        <v>269.85200000000054</v>
      </c>
      <c r="F9" s="2"/>
      <c r="G9" s="2"/>
      <c r="H9" s="2"/>
      <c r="I9" s="2"/>
      <c r="J9" s="2"/>
      <c r="K9" s="2"/>
      <c r="L9" s="2"/>
      <c r="M9" s="2"/>
    </row>
    <row r="10" spans="1:13" ht="30">
      <c r="A10" s="15" t="s">
        <v>80</v>
      </c>
      <c r="B10" s="17">
        <f>IFERROR(AVERAGEIF('Trade Log'!$W$5:$W$204,"&gt;0",'Trade Log'!$AC$5:$AC$204),"")</f>
        <v>0.32648434679960597</v>
      </c>
      <c r="C10" s="2"/>
      <c r="D10" s="15" t="s">
        <v>81</v>
      </c>
      <c r="E10" s="6">
        <f>IFERROR(E6/E5,"")</f>
        <v>2</v>
      </c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5">
      <c r="A12" s="22" t="s">
        <v>82</v>
      </c>
      <c r="B12" s="22"/>
      <c r="C12" s="22"/>
      <c r="D12" s="22"/>
      <c r="E12" s="22"/>
      <c r="F12" s="22"/>
      <c r="G12" s="22"/>
      <c r="H12" s="22"/>
      <c r="I12" s="2"/>
      <c r="J12" s="2"/>
      <c r="K12" s="2"/>
      <c r="L12" s="2"/>
      <c r="M12" s="2"/>
    </row>
    <row r="13" spans="1:13" ht="15">
      <c r="A13" s="18" t="s">
        <v>9</v>
      </c>
      <c r="B13" s="18" t="s">
        <v>83</v>
      </c>
      <c r="C13" s="18" t="s">
        <v>73</v>
      </c>
      <c r="D13" s="18" t="s">
        <v>24</v>
      </c>
      <c r="E13" s="18" t="s">
        <v>84</v>
      </c>
      <c r="F13" s="18" t="s">
        <v>85</v>
      </c>
      <c r="G13" s="18" t="s">
        <v>86</v>
      </c>
      <c r="H13" s="18" t="s">
        <v>62</v>
      </c>
      <c r="I13" s="2"/>
      <c r="J13" s="2"/>
      <c r="K13" s="2"/>
      <c r="L13" s="2"/>
      <c r="M13" s="2"/>
    </row>
    <row r="14" spans="1:13">
      <c r="A14" s="2" t="s">
        <v>87</v>
      </c>
      <c r="B14" s="2">
        <f>COUNTIF('Trade Log'!$H$5:$H$204,A14)</f>
        <v>0</v>
      </c>
      <c r="C14" s="2">
        <f>COUNTIFS('Trade Log'!$H$5:$H$204,A14,'Trade Log'!$W$5:$W$204,"&gt;0")</f>
        <v>0</v>
      </c>
      <c r="D14" s="2">
        <f>SUMIF('Trade Log'!$H$5:$H$204,A14,'Trade Log'!$W$5:$W$204)</f>
        <v>0</v>
      </c>
      <c r="E14" s="8">
        <f>SUMIF('Trade Log'!$H$5:$H$204,A14,'Trade Log'!$AB$5:$AB$204)</f>
        <v>0</v>
      </c>
      <c r="F14" s="17" t="str">
        <f>IFERROR(AVERAGEIFS('Trade Log'!$AC$5:$AC$204,'Trade Log'!$H$5:$H$204,A14,'Trade Log'!$W$5:$W$204,"&gt;0"),"")</f>
        <v/>
      </c>
      <c r="G14" s="17" t="str">
        <f>IFERROR(COUNTIFS('Trade Log'!$H$5:$H$204,A14,'Trade Log'!$AB$5:$AB$204,"&gt;0",'Trade Log'!$W$5:$W$204,"&gt;0")/C14,"")</f>
        <v/>
      </c>
      <c r="H14" s="2"/>
      <c r="I14" s="2"/>
      <c r="J14" s="2"/>
      <c r="K14" s="2"/>
      <c r="L14" s="2"/>
      <c r="M14" s="2"/>
    </row>
    <row r="15" spans="1:13">
      <c r="A15" s="2" t="s">
        <v>88</v>
      </c>
      <c r="B15" s="2">
        <f>COUNTIF('Trade Log'!$H$5:$H$204,A15)</f>
        <v>0</v>
      </c>
      <c r="C15" s="2">
        <f>COUNTIFS('Trade Log'!$H$5:$H$204,A15,'Trade Log'!$W$5:$W$204,"&gt;0")</f>
        <v>0</v>
      </c>
      <c r="D15" s="2">
        <f>SUMIF('Trade Log'!$H$5:$H$204,A15,'Trade Log'!$W$5:$W$204)</f>
        <v>0</v>
      </c>
      <c r="E15" s="8">
        <f>SUMIF('Trade Log'!$H$5:$H$204,A15,'Trade Log'!$AB$5:$AB$204)</f>
        <v>0</v>
      </c>
      <c r="F15" s="17" t="str">
        <f>IFERROR(AVERAGEIFS('Trade Log'!$AC$5:$AC$204,'Trade Log'!$H$5:$H$204,A15,'Trade Log'!$W$5:$W$204,"&gt;0"),"")</f>
        <v/>
      </c>
      <c r="G15" s="17" t="str">
        <f>IFERROR(COUNTIFS('Trade Log'!$H$5:$H$204,A15,'Trade Log'!$AB$5:$AB$204,"&gt;0",'Trade Log'!$W$5:$W$204,"&gt;0")/C15,"")</f>
        <v/>
      </c>
      <c r="H15" s="2"/>
      <c r="I15" s="2"/>
      <c r="J15" s="2"/>
      <c r="K15" s="2"/>
      <c r="L15" s="2"/>
      <c r="M15" s="2"/>
    </row>
    <row r="16" spans="1:13">
      <c r="A16" s="2" t="s">
        <v>41</v>
      </c>
      <c r="B16" s="2">
        <f>COUNTIF('Trade Log'!$H$5:$H$204,A16)</f>
        <v>0</v>
      </c>
      <c r="C16" s="2">
        <f>COUNTIFS('Trade Log'!$H$5:$H$204,A16,'Trade Log'!$W$5:$W$204,"&gt;0")</f>
        <v>0</v>
      </c>
      <c r="D16" s="2">
        <f>SUMIF('Trade Log'!$H$5:$H$204,A16,'Trade Log'!$W$5:$W$204)</f>
        <v>0</v>
      </c>
      <c r="E16" s="8">
        <f>SUMIF('Trade Log'!$H$5:$H$204,A16,'Trade Log'!$AB$5:$AB$204)</f>
        <v>0</v>
      </c>
      <c r="F16" s="17" t="str">
        <f>IFERROR(AVERAGEIFS('Trade Log'!$AC$5:$AC$204,'Trade Log'!$H$5:$H$204,A16,'Trade Log'!$W$5:$W$204,"&gt;0"),"")</f>
        <v/>
      </c>
      <c r="G16" s="17" t="str">
        <f>IFERROR(COUNTIFS('Trade Log'!$H$5:$H$204,A16,'Trade Log'!$AB$5:$AB$204,"&gt;0",'Trade Log'!$W$5:$W$204,"&gt;0")/C16,"")</f>
        <v/>
      </c>
      <c r="H16" s="2"/>
      <c r="I16" s="2"/>
      <c r="J16" s="2"/>
      <c r="K16" s="2"/>
      <c r="L16" s="2"/>
      <c r="M16" s="2"/>
    </row>
    <row r="17" spans="1:13">
      <c r="A17" s="2" t="s">
        <v>89</v>
      </c>
      <c r="B17" s="2">
        <f>COUNTIF('Trade Log'!$H$5:$H$204,A17)</f>
        <v>0</v>
      </c>
      <c r="C17" s="2">
        <f>COUNTIFS('Trade Log'!$H$5:$H$204,A17,'Trade Log'!$W$5:$W$204,"&gt;0")</f>
        <v>0</v>
      </c>
      <c r="D17" s="2">
        <f>SUMIF('Trade Log'!$H$5:$H$204,A17,'Trade Log'!$W$5:$W$204)</f>
        <v>0</v>
      </c>
      <c r="E17" s="8">
        <f>SUMIF('Trade Log'!$H$5:$H$204,A17,'Trade Log'!$AB$5:$AB$204)</f>
        <v>0</v>
      </c>
      <c r="F17" s="17" t="str">
        <f>IFERROR(AVERAGEIFS('Trade Log'!$AC$5:$AC$204,'Trade Log'!$H$5:$H$204,A17,'Trade Log'!$W$5:$W$204,"&gt;0"),"")</f>
        <v/>
      </c>
      <c r="G17" s="17" t="str">
        <f>IFERROR(COUNTIFS('Trade Log'!$H$5:$H$204,A17,'Trade Log'!$AB$5:$AB$204,"&gt;0",'Trade Log'!$W$5:$W$204,"&gt;0")/C17,"")</f>
        <v/>
      </c>
      <c r="H17" s="2"/>
      <c r="I17" s="2"/>
      <c r="J17" s="2"/>
      <c r="K17" s="2"/>
      <c r="L17" s="2"/>
      <c r="M17" s="2"/>
    </row>
    <row r="18" spans="1:13">
      <c r="A18" s="2" t="s">
        <v>90</v>
      </c>
      <c r="B18" s="2">
        <f>COUNTIF('Trade Log'!$H$5:$H$204,A18)</f>
        <v>1</v>
      </c>
      <c r="C18" s="2">
        <f>COUNTIFS('Trade Log'!$H$5:$H$204,A18,'Trade Log'!$W$5:$W$204,"&gt;0")</f>
        <v>1</v>
      </c>
      <c r="D18" s="2">
        <f>SUMIF('Trade Log'!$H$5:$H$204,A18,'Trade Log'!$W$5:$W$204)</f>
        <v>10</v>
      </c>
      <c r="E18" s="8">
        <f>SUMIF('Trade Log'!$H$5:$H$204,A18,'Trade Log'!$AB$5:$AB$204)</f>
        <v>5354.5000000000018</v>
      </c>
      <c r="F18" s="17">
        <f>IFERROR(AVERAGEIFS('Trade Log'!$AC$5:$AC$204,'Trade Log'!$H$5:$H$204,A18,'Trade Log'!$W$5:$W$204,"&gt;0"),"")</f>
        <v>0.32648434679960597</v>
      </c>
      <c r="G18" s="17">
        <f>IFERROR(COUNTIFS('Trade Log'!$H$5:$H$204,A18,'Trade Log'!$AB$5:$AB$204,"&gt;0",'Trade Log'!$W$5:$W$204,"&gt;0")/C18,"")</f>
        <v>1</v>
      </c>
      <c r="H18" s="2"/>
      <c r="I18" s="2"/>
      <c r="J18" s="2"/>
      <c r="K18" s="2"/>
      <c r="L18" s="2"/>
      <c r="M18" s="2"/>
    </row>
    <row r="19" spans="1:13">
      <c r="A19" s="2" t="s">
        <v>91</v>
      </c>
      <c r="B19" s="2">
        <f>COUNTIF('Trade Log'!$H$5:$H$204,A19)</f>
        <v>0</v>
      </c>
      <c r="C19" s="2">
        <f>COUNTIFS('Trade Log'!$H$5:$H$204,A19,'Trade Log'!$W$5:$W$204,"&gt;0")</f>
        <v>0</v>
      </c>
      <c r="D19" s="2">
        <f>SUMIF('Trade Log'!$H$5:$H$204,A19,'Trade Log'!$W$5:$W$204)</f>
        <v>0</v>
      </c>
      <c r="E19" s="8">
        <f>SUMIF('Trade Log'!$H$5:$H$204,A19,'Trade Log'!$AB$5:$AB$204)</f>
        <v>0</v>
      </c>
      <c r="F19" s="17" t="str">
        <f>IFERROR(AVERAGEIFS('Trade Log'!$AC$5:$AC$204,'Trade Log'!$H$5:$H$204,A19,'Trade Log'!$W$5:$W$204,"&gt;0"),"")</f>
        <v/>
      </c>
      <c r="G19" s="17" t="str">
        <f>IFERROR(COUNTIFS('Trade Log'!$H$5:$H$204,A19,'Trade Log'!$AB$5:$AB$204,"&gt;0",'Trade Log'!$W$5:$W$204,"&gt;0")/C19,"")</f>
        <v/>
      </c>
      <c r="H19" s="2"/>
      <c r="I19" s="2"/>
      <c r="J19" s="2"/>
      <c r="K19" s="2"/>
      <c r="L19" s="2"/>
      <c r="M19" s="2"/>
    </row>
    <row r="20" spans="1:13">
      <c r="A20" s="2" t="s">
        <v>92</v>
      </c>
      <c r="B20" s="2">
        <f>COUNTIF('Trade Log'!$H$5:$H$204,A20)</f>
        <v>0</v>
      </c>
      <c r="C20" s="2">
        <f>COUNTIFS('Trade Log'!$H$5:$H$204,A20,'Trade Log'!$W$5:$W$204,"&gt;0")</f>
        <v>0</v>
      </c>
      <c r="D20" s="2">
        <f>SUMIF('Trade Log'!$H$5:$H$204,A20,'Trade Log'!$W$5:$W$204)</f>
        <v>0</v>
      </c>
      <c r="E20" s="8">
        <f>SUMIF('Trade Log'!$H$5:$H$204,A20,'Trade Log'!$AB$5:$AB$204)</f>
        <v>0</v>
      </c>
      <c r="F20" s="17" t="str">
        <f>IFERROR(AVERAGEIFS('Trade Log'!$AC$5:$AC$204,'Trade Log'!$H$5:$H$204,A20,'Trade Log'!$W$5:$W$204,"&gt;0"),"")</f>
        <v/>
      </c>
      <c r="G20" s="17" t="str">
        <f>IFERROR(COUNTIFS('Trade Log'!$H$5:$H$204,A20,'Trade Log'!$AB$5:$AB$204,"&gt;0",'Trade Log'!$W$5:$W$204,"&gt;0")/C20,"")</f>
        <v/>
      </c>
      <c r="H20" s="2"/>
      <c r="I20" s="2"/>
      <c r="J20" s="2"/>
      <c r="K20" s="2"/>
      <c r="L20" s="2"/>
      <c r="M20" s="2"/>
    </row>
    <row r="21" spans="1:13">
      <c r="A21" s="2" t="s">
        <v>93</v>
      </c>
      <c r="B21" s="2">
        <f>COUNTIF('Trade Log'!$H$5:$H$204,A21)</f>
        <v>0</v>
      </c>
      <c r="C21" s="2">
        <f>COUNTIFS('Trade Log'!$H$5:$H$204,A21,'Trade Log'!$W$5:$W$204,"&gt;0")</f>
        <v>0</v>
      </c>
      <c r="D21" s="2">
        <f>SUMIF('Trade Log'!$H$5:$H$204,A21,'Trade Log'!$W$5:$W$204)</f>
        <v>0</v>
      </c>
      <c r="E21" s="8">
        <f>SUMIF('Trade Log'!$H$5:$H$204,A21,'Trade Log'!$AB$5:$AB$204)</f>
        <v>0</v>
      </c>
      <c r="F21" s="17" t="str">
        <f>IFERROR(AVERAGEIFS('Trade Log'!$AC$5:$AC$204,'Trade Log'!$H$5:$H$204,A21,'Trade Log'!$W$5:$W$204,"&gt;0"),"")</f>
        <v/>
      </c>
      <c r="G21" s="17" t="str">
        <f>IFERROR(COUNTIFS('Trade Log'!$H$5:$H$204,A21,'Trade Log'!$AB$5:$AB$204,"&gt;0",'Trade Log'!$W$5:$W$204,"&gt;0")/C21,"")</f>
        <v/>
      </c>
      <c r="H21" s="2"/>
      <c r="I21" s="2"/>
      <c r="J21" s="2"/>
      <c r="K21" s="2"/>
      <c r="L21" s="2"/>
      <c r="M21" s="2"/>
    </row>
    <row r="22" spans="1:13">
      <c r="A22" s="2" t="s">
        <v>94</v>
      </c>
      <c r="B22" s="2">
        <f>COUNTIF('Trade Log'!$H$5:$H$204,A22)</f>
        <v>0</v>
      </c>
      <c r="C22" s="2">
        <f>COUNTIFS('Trade Log'!$H$5:$H$204,A22,'Trade Log'!$W$5:$W$204,"&gt;0")</f>
        <v>0</v>
      </c>
      <c r="D22" s="2">
        <f>SUMIF('Trade Log'!$H$5:$H$204,A22,'Trade Log'!$W$5:$W$204)</f>
        <v>0</v>
      </c>
      <c r="E22" s="8">
        <f>SUMIF('Trade Log'!$H$5:$H$204,A22,'Trade Log'!$AB$5:$AB$204)</f>
        <v>0</v>
      </c>
      <c r="F22" s="17" t="str">
        <f>IFERROR(AVERAGEIFS('Trade Log'!$AC$5:$AC$204,'Trade Log'!$H$5:$H$204,A22,'Trade Log'!$W$5:$W$204,"&gt;0"),"")</f>
        <v/>
      </c>
      <c r="G22" s="17" t="str">
        <f>IFERROR(COUNTIFS('Trade Log'!$H$5:$H$204,A22,'Trade Log'!$AB$5:$AB$204,"&gt;0",'Trade Log'!$W$5:$W$204,"&gt;0")/C22,"")</f>
        <v/>
      </c>
      <c r="H22" s="2"/>
      <c r="I22" s="2"/>
      <c r="J22" s="2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5">
      <c r="A25" s="22" t="s">
        <v>95</v>
      </c>
      <c r="B25" s="22"/>
      <c r="C25" s="22"/>
      <c r="D25" s="22"/>
      <c r="E25" s="22"/>
      <c r="F25" s="22"/>
      <c r="G25" s="2"/>
      <c r="H25" s="22" t="s">
        <v>96</v>
      </c>
      <c r="I25" s="22"/>
      <c r="J25" s="22"/>
      <c r="K25" s="22"/>
      <c r="L25" s="22"/>
      <c r="M25" s="22"/>
    </row>
    <row r="26" spans="1:13" ht="15">
      <c r="A26" s="18" t="s">
        <v>4</v>
      </c>
      <c r="B26" s="18" t="s">
        <v>83</v>
      </c>
      <c r="C26" s="18" t="s">
        <v>73</v>
      </c>
      <c r="D26" s="18" t="s">
        <v>84</v>
      </c>
      <c r="E26" s="18" t="s">
        <v>85</v>
      </c>
      <c r="F26" s="18" t="s">
        <v>86</v>
      </c>
      <c r="G26" s="2"/>
      <c r="H26" s="18" t="s">
        <v>97</v>
      </c>
      <c r="I26" s="18" t="s">
        <v>83</v>
      </c>
      <c r="J26" s="18" t="s">
        <v>73</v>
      </c>
      <c r="K26" s="18" t="s">
        <v>84</v>
      </c>
      <c r="L26" s="18" t="s">
        <v>85</v>
      </c>
      <c r="M26" s="18" t="s">
        <v>86</v>
      </c>
    </row>
    <row r="27" spans="1:13">
      <c r="A27" s="2" t="s">
        <v>98</v>
      </c>
      <c r="B27" s="2">
        <f>COUNTIF('Trade Log'!$C$5:$C$204,A27)</f>
        <v>0</v>
      </c>
      <c r="C27" s="2">
        <f>COUNTIFS('Trade Log'!$C$5:$C$204,A27,'Trade Log'!$W$5:$W$204,"&gt;0")</f>
        <v>0</v>
      </c>
      <c r="D27" s="8">
        <f>SUMIF('Trade Log'!$C$5:$C$204,A27,'Trade Log'!$AB$5:$AB$204)</f>
        <v>0</v>
      </c>
      <c r="E27" s="17" t="str">
        <f>IFERROR(AVERAGEIFS('Trade Log'!$AC$5:$AC$204,'Trade Log'!$C$5:$C$204,A27,'Trade Log'!$W$5:$W$204,"&gt;0"),"")</f>
        <v/>
      </c>
      <c r="F27" s="17" t="str">
        <f>IFERROR(COUNTIFS('Trade Log'!$C$5:$C$204,A27,'Trade Log'!$AB$5:$AB$204,"&gt;0",'Trade Log'!$W$5:$W$204,"&gt;0")/C27,"")</f>
        <v/>
      </c>
      <c r="G27" s="2"/>
      <c r="H27" s="2" t="s">
        <v>99</v>
      </c>
      <c r="I27" s="2">
        <f>COUNTIF('Trade Log'!$E$5:$E$204,H27)</f>
        <v>1</v>
      </c>
      <c r="J27" s="2">
        <f>COUNTIFS('Trade Log'!$E$5:$E$204,H27,'Trade Log'!$W$5:$W$204,"&gt;0")</f>
        <v>1</v>
      </c>
      <c r="K27" s="8">
        <f>SUMIF('Trade Log'!$E$5:$E$204,H27,'Trade Log'!$AB$5:$AB$204)</f>
        <v>5354.5000000000018</v>
      </c>
      <c r="L27" s="17">
        <f>IFERROR(AVERAGEIFS('Trade Log'!$AC$5:$AC$204,'Trade Log'!$E$5:$E$204,H27,'Trade Log'!$W$5:$W$204,"&gt;0"),"")</f>
        <v>0.32648434679960597</v>
      </c>
      <c r="M27" s="17">
        <f>IFERROR(COUNTIFS('Trade Log'!$E$5:$E$204,H27,'Trade Log'!$AB$5:$AB$204,"&gt;0",'Trade Log'!$W$5:$W$204,"&gt;0")/J27,"")</f>
        <v>1</v>
      </c>
    </row>
    <row r="28" spans="1:13">
      <c r="A28" s="2" t="s">
        <v>100</v>
      </c>
      <c r="B28" s="2">
        <f>COUNTIF('Trade Log'!$C$5:$C$204,A28)</f>
        <v>0</v>
      </c>
      <c r="C28" s="2">
        <f>COUNTIFS('Trade Log'!$C$5:$C$204,A28,'Trade Log'!$W$5:$W$204,"&gt;0")</f>
        <v>0</v>
      </c>
      <c r="D28" s="8">
        <f>SUMIF('Trade Log'!$C$5:$C$204,A28,'Trade Log'!$AB$5:$AB$204)</f>
        <v>0</v>
      </c>
      <c r="E28" s="17" t="str">
        <f>IFERROR(AVERAGEIFS('Trade Log'!$AC$5:$AC$204,'Trade Log'!$C$5:$C$204,A28,'Trade Log'!$W$5:$W$204,"&gt;0"),"")</f>
        <v/>
      </c>
      <c r="F28" s="17" t="str">
        <f>IFERROR(COUNTIFS('Trade Log'!$C$5:$C$204,A28,'Trade Log'!$AB$5:$AB$204,"&gt;0",'Trade Log'!$W$5:$W$204,"&gt;0")/C28,"")</f>
        <v/>
      </c>
      <c r="G28" s="2"/>
      <c r="H28" s="2" t="s">
        <v>39</v>
      </c>
      <c r="I28" s="2">
        <f>COUNTIF('Trade Log'!$E$5:$E$204,H28)</f>
        <v>0</v>
      </c>
      <c r="J28" s="2">
        <f>COUNTIFS('Trade Log'!$E$5:$E$204,H28,'Trade Log'!$W$5:$W$204,"&gt;0")</f>
        <v>0</v>
      </c>
      <c r="K28" s="8">
        <f>SUMIF('Trade Log'!$E$5:$E$204,H28,'Trade Log'!$AB$5:$AB$204)</f>
        <v>0</v>
      </c>
      <c r="L28" s="17" t="str">
        <f>IFERROR(AVERAGEIFS('Trade Log'!$AC$5:$AC$204,'Trade Log'!$E$5:$E$204,H28,'Trade Log'!$W$5:$W$204,"&gt;0"),"")</f>
        <v/>
      </c>
      <c r="M28" s="17" t="str">
        <f>IFERROR(COUNTIFS('Trade Log'!$E$5:$E$204,H28,'Trade Log'!$AB$5:$AB$204,"&gt;0",'Trade Log'!$W$5:$W$204,"&gt;0")/J28,"")</f>
        <v/>
      </c>
    </row>
    <row r="29" spans="1:13">
      <c r="A29" s="2" t="s">
        <v>101</v>
      </c>
      <c r="B29" s="2">
        <f>COUNTIF('Trade Log'!$C$5:$C$204,A29)</f>
        <v>0</v>
      </c>
      <c r="C29" s="2">
        <f>COUNTIFS('Trade Log'!$C$5:$C$204,A29,'Trade Log'!$W$5:$W$204,"&gt;0")</f>
        <v>0</v>
      </c>
      <c r="D29" s="8">
        <f>SUMIF('Trade Log'!$C$5:$C$204,A29,'Trade Log'!$AB$5:$AB$204)</f>
        <v>0</v>
      </c>
      <c r="E29" s="17" t="str">
        <f>IFERROR(AVERAGEIFS('Trade Log'!$AC$5:$AC$204,'Trade Log'!$C$5:$C$204,A29,'Trade Log'!$W$5:$W$204,"&gt;0"),"")</f>
        <v/>
      </c>
      <c r="F29" s="17" t="str">
        <f>IFERROR(COUNTIFS('Trade Log'!$C$5:$C$204,A29,'Trade Log'!$AB$5:$AB$204,"&gt;0",'Trade Log'!$W$5:$W$204,"&gt;0")/C29,"")</f>
        <v/>
      </c>
      <c r="G29" s="2"/>
      <c r="H29" s="2" t="s">
        <v>102</v>
      </c>
      <c r="I29" s="2">
        <f>COUNTIF('Trade Log'!$E$5:$E$204,H29)</f>
        <v>0</v>
      </c>
      <c r="J29" s="2">
        <f>COUNTIFS('Trade Log'!$E$5:$E$204,H29,'Trade Log'!$W$5:$W$204,"&gt;0")</f>
        <v>0</v>
      </c>
      <c r="K29" s="8">
        <f>SUMIF('Trade Log'!$E$5:$E$204,H29,'Trade Log'!$AB$5:$AB$204)</f>
        <v>0</v>
      </c>
      <c r="L29" s="17" t="str">
        <f>IFERROR(AVERAGEIFS('Trade Log'!$AC$5:$AC$204,'Trade Log'!$E$5:$E$204,H29,'Trade Log'!$W$5:$W$204,"&gt;0"),"")</f>
        <v/>
      </c>
      <c r="M29" s="17" t="str">
        <f>IFERROR(COUNTIFS('Trade Log'!$E$5:$E$204,H29,'Trade Log'!$AB$5:$AB$204,"&gt;0",'Trade Log'!$W$5:$W$204,"&gt;0")/J29,"")</f>
        <v/>
      </c>
    </row>
    <row r="30" spans="1:13">
      <c r="A30" s="2" t="s">
        <v>103</v>
      </c>
      <c r="B30" s="2">
        <f>COUNTIF('Trade Log'!$C$5:$C$204,A30)</f>
        <v>1</v>
      </c>
      <c r="C30" s="2">
        <f>COUNTIFS('Trade Log'!$C$5:$C$204,A30,'Trade Log'!$W$5:$W$204,"&gt;0")</f>
        <v>1</v>
      </c>
      <c r="D30" s="8">
        <f>SUMIF('Trade Log'!$C$5:$C$204,A30,'Trade Log'!$AB$5:$AB$204)</f>
        <v>5354.5000000000018</v>
      </c>
      <c r="E30" s="17">
        <f>IFERROR(AVERAGEIFS('Trade Log'!$AC$5:$AC$204,'Trade Log'!$C$5:$C$204,A30,'Trade Log'!$W$5:$W$204,"&gt;0"),"")</f>
        <v>0.32648434679960597</v>
      </c>
      <c r="F30" s="17">
        <f>IFERROR(COUNTIFS('Trade Log'!$C$5:$C$204,A30,'Trade Log'!$AB$5:$AB$204,"&gt;0",'Trade Log'!$W$5:$W$204,"&gt;0")/C30,"")</f>
        <v>1</v>
      </c>
      <c r="G30" s="2"/>
      <c r="H30" s="2" t="s">
        <v>104</v>
      </c>
      <c r="I30" s="2">
        <f>COUNTIF('Trade Log'!$E$5:$E$204,H30)</f>
        <v>0</v>
      </c>
      <c r="J30" s="2">
        <f>COUNTIFS('Trade Log'!$E$5:$E$204,H30,'Trade Log'!$W$5:$W$204,"&gt;0")</f>
        <v>0</v>
      </c>
      <c r="K30" s="8">
        <f>SUMIF('Trade Log'!$E$5:$E$204,H30,'Trade Log'!$AB$5:$AB$204)</f>
        <v>0</v>
      </c>
      <c r="L30" s="17" t="str">
        <f>IFERROR(AVERAGEIFS('Trade Log'!$AC$5:$AC$204,'Trade Log'!$E$5:$E$204,H30,'Trade Log'!$W$5:$W$204,"&gt;0"),"")</f>
        <v/>
      </c>
      <c r="M30" s="17" t="str">
        <f>IFERROR(COUNTIFS('Trade Log'!$E$5:$E$204,H30,'Trade Log'!$AB$5:$AB$204,"&gt;0",'Trade Log'!$W$5:$W$204,"&gt;0")/J30,"")</f>
        <v/>
      </c>
    </row>
    <row r="31" spans="1:13">
      <c r="A31" s="2" t="s">
        <v>105</v>
      </c>
      <c r="B31" s="2">
        <f>COUNTIF('Trade Log'!$C$5:$C$204,A31)</f>
        <v>0</v>
      </c>
      <c r="C31" s="2">
        <f>COUNTIFS('Trade Log'!$C$5:$C$204,A31,'Trade Log'!$W$5:$W$204,"&gt;0")</f>
        <v>0</v>
      </c>
      <c r="D31" s="8">
        <f>SUMIF('Trade Log'!$C$5:$C$204,A31,'Trade Log'!$AB$5:$AB$204)</f>
        <v>0</v>
      </c>
      <c r="E31" s="17" t="str">
        <f>IFERROR(AVERAGEIFS('Trade Log'!$AC$5:$AC$204,'Trade Log'!$C$5:$C$204,A31,'Trade Log'!$W$5:$W$204,"&gt;0"),"")</f>
        <v/>
      </c>
      <c r="F31" s="17" t="str">
        <f>IFERROR(COUNTIFS('Trade Log'!$C$5:$C$204,A31,'Trade Log'!$AB$5:$AB$204,"&gt;0",'Trade Log'!$W$5:$W$204,"&gt;0")/C31,"")</f>
        <v/>
      </c>
      <c r="G31" s="2"/>
      <c r="H31" s="2" t="s">
        <v>106</v>
      </c>
      <c r="I31" s="2">
        <f>COUNTIF('Trade Log'!$E$5:$E$204,H31)</f>
        <v>0</v>
      </c>
      <c r="J31" s="2">
        <f>COUNTIFS('Trade Log'!$E$5:$E$204,H31,'Trade Log'!$W$5:$W$204,"&gt;0")</f>
        <v>0</v>
      </c>
      <c r="K31" s="8">
        <f>SUMIF('Trade Log'!$E$5:$E$204,H31,'Trade Log'!$AB$5:$AB$204)</f>
        <v>0</v>
      </c>
      <c r="L31" s="17" t="str">
        <f>IFERROR(AVERAGEIFS('Trade Log'!$AC$5:$AC$204,'Trade Log'!$E$5:$E$204,H31,'Trade Log'!$W$5:$W$204,"&gt;0"),"")</f>
        <v/>
      </c>
      <c r="M31" s="17" t="str">
        <f>IFERROR(COUNTIFS('Trade Log'!$E$5:$E$204,H31,'Trade Log'!$AB$5:$AB$204,"&gt;0",'Trade Log'!$W$5:$W$204,"&gt;0")/J31,"")</f>
        <v/>
      </c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5">
      <c r="A34" s="22" t="s">
        <v>107</v>
      </c>
      <c r="B34" s="22"/>
      <c r="C34" s="22"/>
      <c r="D34" s="22"/>
      <c r="E34" s="22"/>
      <c r="F34" s="22"/>
      <c r="G34" s="2"/>
      <c r="H34" s="2"/>
      <c r="I34" s="2"/>
      <c r="J34" s="2"/>
      <c r="K34" s="2"/>
      <c r="L34" s="2"/>
      <c r="M34" s="2"/>
    </row>
    <row r="35" spans="1:13" ht="15">
      <c r="A35" s="18" t="s">
        <v>10</v>
      </c>
      <c r="B35" s="18" t="s">
        <v>83</v>
      </c>
      <c r="C35" s="18" t="s">
        <v>73</v>
      </c>
      <c r="D35" s="18" t="s">
        <v>84</v>
      </c>
      <c r="E35" s="18" t="s">
        <v>85</v>
      </c>
      <c r="F35" s="18" t="s">
        <v>86</v>
      </c>
      <c r="G35" s="2"/>
      <c r="H35" s="2"/>
      <c r="I35" s="2"/>
      <c r="J35" s="2"/>
      <c r="K35" s="2"/>
      <c r="L35" s="2"/>
      <c r="M35" s="2"/>
    </row>
    <row r="36" spans="1:13">
      <c r="A36" s="2" t="s">
        <v>42</v>
      </c>
      <c r="B36" s="2">
        <f>COUNTIF('Trade Log'!$I$5:$I$204,A36)</f>
        <v>1</v>
      </c>
      <c r="C36" s="2">
        <f>COUNTIFS('Trade Log'!$I$5:$I$204,A36,'Trade Log'!$W$5:$W$204,"&gt;0")</f>
        <v>1</v>
      </c>
      <c r="D36" s="8">
        <f>SUMIF('Trade Log'!$I$5:$I$204,A36,'Trade Log'!$AB$5:$AB$204)</f>
        <v>5354.5000000000018</v>
      </c>
      <c r="E36" s="17">
        <f>IFERROR(AVERAGEIFS('Trade Log'!$AC$5:$AC$204,'Trade Log'!$I$5:$I$204,A36,'Trade Log'!$W$5:$W$204,"&gt;0"),"")</f>
        <v>0.32648434679960597</v>
      </c>
      <c r="F36" s="17">
        <f>IFERROR(COUNTIFS('Trade Log'!$I$5:$I$204,A36,'Trade Log'!$AB$5:$AB$204,"&gt;0",'Trade Log'!$W$5:$W$204,"&gt;0")/C36,"")</f>
        <v>1</v>
      </c>
      <c r="G36" s="2"/>
      <c r="H36" s="2"/>
      <c r="I36" s="2"/>
      <c r="J36" s="2"/>
      <c r="K36" s="2"/>
      <c r="L36" s="2"/>
      <c r="M36" s="2"/>
    </row>
    <row r="37" spans="1:13">
      <c r="A37" s="2" t="s">
        <v>108</v>
      </c>
      <c r="B37" s="2">
        <f>COUNTIF('Trade Log'!$I$5:$I$204,A37)</f>
        <v>0</v>
      </c>
      <c r="C37" s="2">
        <f>COUNTIFS('Trade Log'!$I$5:$I$204,A37,'Trade Log'!$W$5:$W$204,"&gt;0")</f>
        <v>0</v>
      </c>
      <c r="D37" s="8">
        <f>SUMIF('Trade Log'!$I$5:$I$204,A37,'Trade Log'!$AB$5:$AB$204)</f>
        <v>0</v>
      </c>
      <c r="E37" s="17" t="str">
        <f>IFERROR(AVERAGEIFS('Trade Log'!$AC$5:$AC$204,'Trade Log'!$I$5:$I$204,A37,'Trade Log'!$W$5:$W$204,"&gt;0"),"")</f>
        <v/>
      </c>
      <c r="F37" s="17" t="str">
        <f>IFERROR(COUNTIFS('Trade Log'!$I$5:$I$204,A37,'Trade Log'!$AB$5:$AB$204,"&gt;0",'Trade Log'!$W$5:$W$204,"&gt;0")/C37,"")</f>
        <v/>
      </c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</sheetData>
  <mergeCells count="8">
    <mergeCell ref="A25:F25"/>
    <mergeCell ref="H25:M25"/>
    <mergeCell ref="A34:F34"/>
    <mergeCell ref="A1:M1"/>
    <mergeCell ref="A2:M2"/>
    <mergeCell ref="A4:B4"/>
    <mergeCell ref="D4:E4"/>
    <mergeCell ref="A12:H12"/>
  </mergeCells>
  <conditionalFormatting sqref="B8">
    <cfRule type="cellIs" dxfId="11" priority="13" operator="greaterThan">
      <formula>0</formula>
    </cfRule>
    <cfRule type="cellIs" dxfId="10" priority="14" operator="lessThan">
      <formula>0</formula>
    </cfRule>
  </conditionalFormatting>
  <conditionalFormatting sqref="D27:D31">
    <cfRule type="cellIs" dxfId="9" priority="19" operator="greaterThan">
      <formula>0</formula>
    </cfRule>
    <cfRule type="cellIs" dxfId="8" priority="20" operator="lessThan">
      <formula>0</formula>
    </cfRule>
  </conditionalFormatting>
  <conditionalFormatting sqref="D36:D37">
    <cfRule type="cellIs" dxfId="7" priority="23" operator="greaterThan">
      <formula>0</formula>
    </cfRule>
    <cfRule type="cellIs" dxfId="6" priority="24" operator="lessThan">
      <formula>0</formula>
    </cfRule>
  </conditionalFormatting>
  <conditionalFormatting sqref="E7:E9">
    <cfRule type="cellIs" dxfId="5" priority="15" operator="greaterThan">
      <formula>0</formula>
    </cfRule>
    <cfRule type="cellIs" dxfId="4" priority="16" operator="lessThan">
      <formula>0</formula>
    </cfRule>
  </conditionalFormatting>
  <conditionalFormatting sqref="E14:E22">
    <cfRule type="cellIs" dxfId="3" priority="17" operator="greaterThan">
      <formula>0</formula>
    </cfRule>
    <cfRule type="cellIs" dxfId="2" priority="18" operator="lessThan">
      <formula>0</formula>
    </cfRule>
  </conditionalFormatting>
  <conditionalFormatting sqref="K27:K31">
    <cfRule type="cellIs" dxfId="1" priority="21" operator="greaterThan">
      <formula>0</formula>
    </cfRule>
    <cfRule type="cellIs" dxfId="0" priority="2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0"/>
  <sheetViews>
    <sheetView workbookViewId="0"/>
  </sheetViews>
  <sheetFormatPr defaultRowHeight="14.25"/>
  <cols>
    <col min="1" max="1" width="10" customWidth="1"/>
    <col min="2" max="2" width="38" customWidth="1"/>
    <col min="3" max="3" width="48" customWidth="1"/>
    <col min="4" max="5" width="14" customWidth="1"/>
  </cols>
  <sheetData>
    <row r="1" spans="1:5" ht="26.1" customHeight="1">
      <c r="A1" s="21" t="s">
        <v>109</v>
      </c>
      <c r="B1" s="21"/>
      <c r="C1" s="21"/>
      <c r="D1" s="21"/>
      <c r="E1" s="21"/>
    </row>
    <row r="2" spans="1:5" ht="33.950000000000003" customHeight="1">
      <c r="A2" s="20" t="s">
        <v>110</v>
      </c>
      <c r="B2" s="20"/>
      <c r="C2" s="20"/>
      <c r="D2" s="20"/>
      <c r="E2" s="20"/>
    </row>
    <row r="3" spans="1:5">
      <c r="A3" s="2"/>
      <c r="B3" s="2"/>
      <c r="C3" s="2"/>
      <c r="D3" s="2"/>
      <c r="E3" s="2"/>
    </row>
    <row r="4" spans="1:5" ht="32.1" customHeight="1">
      <c r="A4" s="1" t="s">
        <v>111</v>
      </c>
      <c r="B4" s="1" t="s">
        <v>112</v>
      </c>
      <c r="C4" s="1" t="s">
        <v>113</v>
      </c>
      <c r="D4" s="1" t="s">
        <v>31</v>
      </c>
      <c r="E4" s="1" t="s">
        <v>114</v>
      </c>
    </row>
    <row r="5" spans="1:5">
      <c r="A5" s="2">
        <v>1</v>
      </c>
      <c r="B5" s="2" t="s">
        <v>115</v>
      </c>
      <c r="C5" s="2" t="s">
        <v>116</v>
      </c>
      <c r="D5" s="2" t="s">
        <v>117</v>
      </c>
      <c r="E5" s="3">
        <v>46163</v>
      </c>
    </row>
    <row r="6" spans="1:5" ht="28.5">
      <c r="A6" s="2">
        <v>2</v>
      </c>
      <c r="B6" s="2" t="s">
        <v>118</v>
      </c>
      <c r="C6" s="2" t="s">
        <v>119</v>
      </c>
      <c r="D6" s="2" t="s">
        <v>117</v>
      </c>
      <c r="E6" s="3">
        <v>46163</v>
      </c>
    </row>
    <row r="7" spans="1:5" ht="28.5">
      <c r="A7" s="2">
        <v>3</v>
      </c>
      <c r="B7" s="2" t="s">
        <v>120</v>
      </c>
      <c r="C7" s="2" t="s">
        <v>121</v>
      </c>
      <c r="D7" s="2" t="s">
        <v>117</v>
      </c>
      <c r="E7" s="3">
        <v>46163</v>
      </c>
    </row>
    <row r="8" spans="1:5" ht="28.5">
      <c r="A8" s="2">
        <v>4</v>
      </c>
      <c r="B8" s="2" t="s">
        <v>122</v>
      </c>
      <c r="C8" s="2" t="s">
        <v>123</v>
      </c>
      <c r="D8" s="2" t="s">
        <v>117</v>
      </c>
      <c r="E8" s="3">
        <v>46163</v>
      </c>
    </row>
    <row r="9" spans="1:5" ht="28.5">
      <c r="A9" s="2">
        <v>5</v>
      </c>
      <c r="B9" s="2" t="s">
        <v>124</v>
      </c>
      <c r="C9" s="2" t="s">
        <v>125</v>
      </c>
      <c r="D9" s="2" t="s">
        <v>126</v>
      </c>
      <c r="E9" s="3">
        <v>46163</v>
      </c>
    </row>
    <row r="10" spans="1:5">
      <c r="A10" s="2"/>
      <c r="B10" s="2"/>
      <c r="C10" s="2"/>
      <c r="D10" s="2"/>
      <c r="E10" s="3"/>
    </row>
    <row r="11" spans="1:5">
      <c r="A11" s="2"/>
      <c r="B11" s="2"/>
      <c r="C11" s="2"/>
      <c r="D11" s="2"/>
      <c r="E11" s="3"/>
    </row>
    <row r="12" spans="1:5">
      <c r="A12" s="2"/>
      <c r="B12" s="2"/>
      <c r="C12" s="2"/>
      <c r="D12" s="2"/>
      <c r="E12" s="3"/>
    </row>
    <row r="13" spans="1:5">
      <c r="A13" s="2"/>
      <c r="B13" s="2"/>
      <c r="C13" s="2"/>
      <c r="D13" s="2"/>
      <c r="E13" s="3"/>
    </row>
    <row r="14" spans="1:5">
      <c r="A14" s="2"/>
      <c r="B14" s="2"/>
      <c r="C14" s="2"/>
      <c r="D14" s="2"/>
      <c r="E14" s="3"/>
    </row>
    <row r="15" spans="1:5">
      <c r="A15" s="2"/>
      <c r="B15" s="2"/>
      <c r="C15" s="2"/>
      <c r="D15" s="2"/>
      <c r="E15" s="3"/>
    </row>
    <row r="16" spans="1:5">
      <c r="A16" s="2"/>
      <c r="B16" s="2"/>
      <c r="C16" s="2"/>
      <c r="D16" s="2"/>
      <c r="E16" s="3"/>
    </row>
    <row r="17" spans="1:5">
      <c r="A17" s="2"/>
      <c r="B17" s="2"/>
      <c r="C17" s="2"/>
      <c r="D17" s="2"/>
      <c r="E17" s="3"/>
    </row>
    <row r="18" spans="1:5">
      <c r="A18" s="2"/>
      <c r="B18" s="2"/>
      <c r="C18" s="2"/>
      <c r="D18" s="2"/>
      <c r="E18" s="3"/>
    </row>
    <row r="19" spans="1:5">
      <c r="A19" s="2"/>
      <c r="B19" s="2"/>
      <c r="C19" s="2"/>
      <c r="D19" s="2"/>
      <c r="E19" s="3"/>
    </row>
    <row r="20" spans="1:5">
      <c r="A20" s="2"/>
      <c r="B20" s="2"/>
      <c r="C20" s="2"/>
      <c r="D20" s="2"/>
      <c r="E20" s="3"/>
    </row>
    <row r="21" spans="1:5">
      <c r="A21" s="2"/>
      <c r="B21" s="2"/>
      <c r="C21" s="2"/>
      <c r="D21" s="2"/>
      <c r="E21" s="3"/>
    </row>
    <row r="22" spans="1:5">
      <c r="A22" s="2"/>
      <c r="B22" s="2"/>
      <c r="C22" s="2"/>
      <c r="D22" s="2"/>
      <c r="E22" s="3"/>
    </row>
    <row r="23" spans="1:5">
      <c r="A23" s="2"/>
      <c r="B23" s="2"/>
      <c r="C23" s="2"/>
      <c r="D23" s="2"/>
      <c r="E23" s="3"/>
    </row>
    <row r="24" spans="1:5">
      <c r="A24" s="2"/>
      <c r="B24" s="2"/>
      <c r="C24" s="2"/>
      <c r="D24" s="2"/>
      <c r="E24" s="3"/>
    </row>
    <row r="25" spans="1:5">
      <c r="A25" s="2"/>
      <c r="B25" s="2"/>
      <c r="C25" s="2"/>
      <c r="D25" s="2"/>
      <c r="E25" s="3"/>
    </row>
    <row r="26" spans="1:5">
      <c r="A26" s="2"/>
      <c r="B26" s="2"/>
      <c r="C26" s="2"/>
      <c r="D26" s="2"/>
      <c r="E26" s="3"/>
    </row>
    <row r="27" spans="1:5">
      <c r="A27" s="2"/>
      <c r="B27" s="2"/>
      <c r="C27" s="2"/>
      <c r="D27" s="2"/>
      <c r="E27" s="3"/>
    </row>
    <row r="28" spans="1:5">
      <c r="A28" s="2"/>
      <c r="B28" s="2"/>
      <c r="C28" s="2"/>
      <c r="D28" s="2"/>
      <c r="E28" s="3"/>
    </row>
    <row r="29" spans="1:5">
      <c r="A29" s="2"/>
      <c r="B29" s="2"/>
      <c r="C29" s="2"/>
      <c r="D29" s="2"/>
      <c r="E29" s="3"/>
    </row>
    <row r="30" spans="1:5">
      <c r="A30" s="2"/>
      <c r="B30" s="2"/>
      <c r="C30" s="2"/>
      <c r="D30" s="2"/>
      <c r="E30" s="3"/>
    </row>
    <row r="31" spans="1:5">
      <c r="A31" s="2"/>
      <c r="B31" s="2"/>
      <c r="C31" s="2"/>
      <c r="D31" s="2"/>
      <c r="E31" s="3"/>
    </row>
    <row r="32" spans="1:5">
      <c r="A32" s="2"/>
      <c r="B32" s="2"/>
      <c r="C32" s="2"/>
      <c r="D32" s="2"/>
      <c r="E32" s="3"/>
    </row>
    <row r="33" spans="1:5">
      <c r="A33" s="2"/>
      <c r="B33" s="2"/>
      <c r="C33" s="2"/>
      <c r="D33" s="2"/>
      <c r="E33" s="3"/>
    </row>
    <row r="34" spans="1:5">
      <c r="A34" s="2"/>
      <c r="B34" s="2"/>
      <c r="C34" s="2"/>
      <c r="D34" s="2"/>
      <c r="E34" s="3"/>
    </row>
    <row r="35" spans="1:5">
      <c r="A35" s="2"/>
      <c r="B35" s="2"/>
      <c r="C35" s="2"/>
      <c r="D35" s="2"/>
      <c r="E35" s="3"/>
    </row>
    <row r="36" spans="1:5">
      <c r="A36" s="2"/>
      <c r="B36" s="2"/>
      <c r="C36" s="2"/>
      <c r="D36" s="2"/>
      <c r="E36" s="3"/>
    </row>
    <row r="37" spans="1:5">
      <c r="A37" s="2"/>
      <c r="B37" s="2"/>
      <c r="C37" s="2"/>
      <c r="D37" s="2"/>
      <c r="E37" s="3"/>
    </row>
    <row r="38" spans="1:5">
      <c r="A38" s="2"/>
      <c r="B38" s="2"/>
      <c r="C38" s="2"/>
      <c r="D38" s="2"/>
      <c r="E38" s="3"/>
    </row>
    <row r="39" spans="1:5">
      <c r="A39" s="2"/>
      <c r="B39" s="2"/>
      <c r="C39" s="2"/>
      <c r="D39" s="2"/>
      <c r="E39" s="3"/>
    </row>
    <row r="40" spans="1:5">
      <c r="A40" s="2"/>
      <c r="B40" s="2"/>
      <c r="C40" s="2"/>
      <c r="D40" s="2"/>
      <c r="E40" s="3"/>
    </row>
    <row r="41" spans="1:5">
      <c r="A41" s="2"/>
      <c r="B41" s="2"/>
      <c r="C41" s="2"/>
      <c r="D41" s="2"/>
      <c r="E41" s="3"/>
    </row>
    <row r="42" spans="1:5">
      <c r="A42" s="2"/>
      <c r="B42" s="2"/>
      <c r="C42" s="2"/>
      <c r="D42" s="2"/>
      <c r="E42" s="3"/>
    </row>
    <row r="43" spans="1:5">
      <c r="A43" s="2"/>
      <c r="B43" s="2"/>
      <c r="C43" s="2"/>
      <c r="D43" s="2"/>
      <c r="E43" s="3"/>
    </row>
    <row r="44" spans="1:5">
      <c r="A44" s="2"/>
      <c r="B44" s="2"/>
      <c r="C44" s="2"/>
      <c r="D44" s="2"/>
      <c r="E44" s="3"/>
    </row>
    <row r="45" spans="1:5">
      <c r="A45" s="2"/>
      <c r="B45" s="2"/>
      <c r="C45" s="2"/>
      <c r="D45" s="2"/>
      <c r="E45" s="3"/>
    </row>
    <row r="46" spans="1:5">
      <c r="A46" s="2"/>
      <c r="B46" s="2"/>
      <c r="C46" s="2"/>
      <c r="D46" s="2"/>
      <c r="E46" s="3"/>
    </row>
    <row r="47" spans="1:5">
      <c r="A47" s="2"/>
      <c r="B47" s="2"/>
      <c r="C47" s="2"/>
      <c r="D47" s="2"/>
      <c r="E47" s="3"/>
    </row>
    <row r="48" spans="1:5">
      <c r="A48" s="2"/>
      <c r="B48" s="2"/>
      <c r="C48" s="2"/>
      <c r="D48" s="2"/>
      <c r="E48" s="3"/>
    </row>
    <row r="49" spans="1:5">
      <c r="A49" s="2"/>
      <c r="B49" s="2"/>
      <c r="C49" s="2"/>
      <c r="D49" s="2"/>
      <c r="E49" s="3"/>
    </row>
    <row r="50" spans="1:5">
      <c r="A50" s="2"/>
      <c r="B50" s="2"/>
      <c r="C50" s="2"/>
      <c r="D50" s="2"/>
      <c r="E50" s="3"/>
    </row>
  </sheetData>
  <mergeCells count="2">
    <mergeCell ref="A1:E1"/>
    <mergeCell ref="A2:E2"/>
  </mergeCells>
  <dataValidations count="1">
    <dataValidation type="list" sqref="D5:D50" xr:uid="{00000000-0002-0000-0300-000000000000}">
      <formula1>"Active,Testing,Retired"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/>
  </sheetViews>
  <sheetFormatPr defaultRowHeight="14.25"/>
  <cols>
    <col min="1" max="1" width="24" customWidth="1"/>
    <col min="2" max="2" width="52" customWidth="1"/>
    <col min="4" max="4" width="14" customWidth="1"/>
    <col min="5" max="5" width="58" customWidth="1"/>
  </cols>
  <sheetData>
    <row r="1" spans="1:5" ht="26.1" customHeight="1">
      <c r="A1" s="21" t="s">
        <v>127</v>
      </c>
      <c r="B1" s="21"/>
      <c r="C1" s="2"/>
      <c r="D1" s="2"/>
      <c r="E1" s="2"/>
    </row>
    <row r="2" spans="1:5" ht="33.950000000000003" customHeight="1">
      <c r="A2" s="20" t="s">
        <v>128</v>
      </c>
      <c r="B2" s="20"/>
      <c r="C2" s="2"/>
      <c r="D2" s="2"/>
      <c r="E2" s="2"/>
    </row>
    <row r="3" spans="1:5">
      <c r="A3" s="2"/>
      <c r="B3" s="2"/>
      <c r="C3" s="2"/>
      <c r="D3" s="2"/>
      <c r="E3" s="2"/>
    </row>
    <row r="4" spans="1:5" ht="32.1" customHeight="1">
      <c r="A4" s="1" t="s">
        <v>129</v>
      </c>
      <c r="B4" s="1" t="s">
        <v>130</v>
      </c>
      <c r="C4" s="2"/>
      <c r="D4" s="1" t="s">
        <v>131</v>
      </c>
      <c r="E4" s="1" t="s">
        <v>132</v>
      </c>
    </row>
    <row r="5" spans="1:5">
      <c r="A5" s="2" t="s">
        <v>87</v>
      </c>
      <c r="B5" s="2" t="s">
        <v>133</v>
      </c>
      <c r="C5" s="2"/>
      <c r="D5" s="2" t="s">
        <v>134</v>
      </c>
      <c r="E5" s="2" t="s">
        <v>135</v>
      </c>
    </row>
    <row r="6" spans="1:5">
      <c r="A6" s="2" t="s">
        <v>88</v>
      </c>
      <c r="B6" s="2" t="s">
        <v>136</v>
      </c>
      <c r="C6" s="2"/>
      <c r="D6" s="2" t="s">
        <v>137</v>
      </c>
      <c r="E6" s="2" t="s">
        <v>138</v>
      </c>
    </row>
    <row r="7" spans="1:5">
      <c r="A7" s="2" t="s">
        <v>41</v>
      </c>
      <c r="B7" s="2" t="s">
        <v>139</v>
      </c>
      <c r="C7" s="2"/>
      <c r="D7" s="2" t="s">
        <v>44</v>
      </c>
      <c r="E7" s="2" t="s">
        <v>140</v>
      </c>
    </row>
    <row r="8" spans="1:5">
      <c r="A8" s="2" t="s">
        <v>89</v>
      </c>
      <c r="B8" s="2" t="s">
        <v>141</v>
      </c>
      <c r="C8" s="2"/>
      <c r="D8" s="2"/>
      <c r="E8" s="2"/>
    </row>
    <row r="9" spans="1:5">
      <c r="A9" s="2" t="s">
        <v>90</v>
      </c>
      <c r="B9" s="2" t="s">
        <v>142</v>
      </c>
      <c r="C9" s="2"/>
      <c r="D9" s="2"/>
      <c r="E9" s="2"/>
    </row>
    <row r="10" spans="1:5">
      <c r="A10" s="2" t="s">
        <v>91</v>
      </c>
      <c r="B10" s="2" t="s">
        <v>143</v>
      </c>
      <c r="C10" s="2"/>
      <c r="D10" s="2"/>
      <c r="E10" s="2"/>
    </row>
    <row r="11" spans="1:5">
      <c r="A11" s="2" t="s">
        <v>92</v>
      </c>
      <c r="B11" s="2" t="s">
        <v>144</v>
      </c>
      <c r="C11" s="2"/>
      <c r="D11" s="2"/>
      <c r="E11" s="2"/>
    </row>
    <row r="12" spans="1:5">
      <c r="A12" s="2" t="s">
        <v>93</v>
      </c>
      <c r="B12" s="2" t="s">
        <v>145</v>
      </c>
      <c r="C12" s="2"/>
      <c r="D12" s="2"/>
      <c r="E12" s="2"/>
    </row>
    <row r="13" spans="1:5">
      <c r="A13" s="2" t="s">
        <v>94</v>
      </c>
      <c r="B13" s="2" t="s">
        <v>146</v>
      </c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</sheetData>
  <mergeCells count="2">
    <mergeCell ref="A1:B1"/>
    <mergeCell ref="A2:B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 Log</vt:lpstr>
      <vt:lpstr>Exit Log</vt:lpstr>
      <vt:lpstr>Setup Review</vt:lpstr>
      <vt:lpstr>Rules &amp; Lessons</vt:lpstr>
      <vt:lpstr>Setup 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Herrera, Joe</dc:creator>
  <cp:lastModifiedBy>Herrera, Joe</cp:lastModifiedBy>
  <dcterms:created xsi:type="dcterms:W3CDTF">2026-05-21T20:11:06Z</dcterms:created>
  <dcterms:modified xsi:type="dcterms:W3CDTF">2026-05-21T20:11:06Z</dcterms:modified>
</cp:coreProperties>
</file>